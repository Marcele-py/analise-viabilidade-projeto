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Área de Trabalho\EXCEL\1. PORTIFÓLIO\"/>
    </mc:Choice>
  </mc:AlternateContent>
  <xr:revisionPtr revIDLastSave="0" documentId="13_ncr:1_{05B19BA1-A5FA-4426-B82F-E2797D40D845}" xr6:coauthVersionLast="47" xr6:coauthVersionMax="47" xr10:uidLastSave="{00000000-0000-0000-0000-000000000000}"/>
  <bookViews>
    <workbookView xWindow="-108" yWindow="-108" windowWidth="23256" windowHeight="12456" activeTab="1" xr2:uid="{9DAD0747-FF21-437F-9B7F-73901A007A49}"/>
  </bookViews>
  <sheets>
    <sheet name="BASE DE DADOS" sheetId="2" r:id="rId1"/>
    <sheet name="DASHBOARD" sheetId="8" r:id="rId2"/>
    <sheet name="Gráfico 1" sheetId="3" state="hidden" r:id="rId3"/>
    <sheet name="Gráfico 2" sheetId="6" state="hidden" r:id="rId4"/>
    <sheet name="Gráfico 3" sheetId="7" state="hidden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2" l="1"/>
  <c r="D8" i="3"/>
  <c r="D9" i="3"/>
  <c r="D10" i="3"/>
  <c r="D11" i="3"/>
  <c r="D12" i="3"/>
  <c r="D7" i="3"/>
  <c r="D20" i="2"/>
  <c r="D19" i="2"/>
  <c r="D18" i="2"/>
  <c r="D17" i="2"/>
  <c r="D16" i="2"/>
  <c r="D15" i="2"/>
  <c r="D14" i="2"/>
  <c r="C14" i="2"/>
  <c r="C16" i="2"/>
  <c r="C17" i="2"/>
  <c r="C18" i="2"/>
  <c r="C19" i="2"/>
  <c r="C20" i="2"/>
  <c r="C15" i="2"/>
  <c r="E15" i="2" s="1"/>
  <c r="B26" i="2"/>
  <c r="B25" i="2"/>
  <c r="D5" i="2"/>
  <c r="D6" i="2"/>
  <c r="D7" i="2"/>
  <c r="D8" i="2"/>
  <c r="D9" i="2"/>
  <c r="D4" i="2"/>
  <c r="D12" i="6"/>
  <c r="D11" i="6"/>
  <c r="D10" i="6"/>
  <c r="D9" i="6"/>
  <c r="D8" i="6"/>
  <c r="D7" i="6"/>
  <c r="D6" i="6"/>
  <c r="D6" i="3"/>
  <c r="E16" i="2" l="1"/>
  <c r="E17" i="2" s="1"/>
  <c r="E18" i="2" s="1"/>
  <c r="E19" i="2" s="1"/>
  <c r="E20" i="2" s="1"/>
  <c r="E25" i="2"/>
  <c r="D10" i="2"/>
  <c r="D11" i="2" s="1"/>
</calcChain>
</file>

<file path=xl/sharedStrings.xml><?xml version="1.0" encoding="utf-8"?>
<sst xmlns="http://schemas.openxmlformats.org/spreadsheetml/2006/main" count="34" uniqueCount="29">
  <si>
    <t>Ano</t>
  </si>
  <si>
    <t>TMA</t>
  </si>
  <si>
    <t>VPL</t>
  </si>
  <si>
    <t>Valor presente líquido (VPL)</t>
  </si>
  <si>
    <t>Investimento inicial</t>
  </si>
  <si>
    <t>10MM</t>
  </si>
  <si>
    <t>(ao ano)</t>
  </si>
  <si>
    <t>Utilizando a função VP</t>
  </si>
  <si>
    <t>TIR</t>
  </si>
  <si>
    <t>Fluxo simples</t>
  </si>
  <si>
    <t>Utilizando as funções TIR e VPL</t>
  </si>
  <si>
    <t>PAYBACK SIMPLES</t>
  </si>
  <si>
    <t>PAYBACK DESCONTADO</t>
  </si>
  <si>
    <t>Acumulativo simples</t>
  </si>
  <si>
    <t>Acumulativo descontado</t>
  </si>
  <si>
    <t>Fluxo descontado (TMA=11%)</t>
  </si>
  <si>
    <t>Total Geral</t>
  </si>
  <si>
    <t>Projeção de ganho</t>
  </si>
  <si>
    <t>Gráfico de fluxo de caixa simples</t>
  </si>
  <si>
    <t>Gráfico de fluxo de caixa descontado</t>
  </si>
  <si>
    <t>Fluxo descontado (TMA)</t>
  </si>
  <si>
    <t>Payback descontado</t>
  </si>
  <si>
    <t>Acumulativo descontado (TMA)</t>
  </si>
  <si>
    <t>Valores abreviados</t>
  </si>
  <si>
    <t>5° ano</t>
  </si>
  <si>
    <t>6° ano</t>
  </si>
  <si>
    <t>Viabilidade  econômica de um projeto</t>
  </si>
  <si>
    <t>Previsão de ganho ao ano ao longo de 6 anos</t>
  </si>
  <si>
    <t>Somatório: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</si>
</sst>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164" formatCode="&quot;R$&quot;\ #,##0.00"/>
    <numFmt numFmtId="165" formatCode="0.000000%"/>
    <numFmt numFmtId="166" formatCode="&quot;R$&quot;\ #,##0\ &quot;MM&quot;"/>
    <numFmt numFmtId="167" formatCode="&quot;R$&quot;\ #,##0.00\ &quot;M&quot;"/>
    <numFmt numFmtId="168" formatCode="&quot;R$&quot;\ #,##0.0\ &quot;M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5" tint="-0.249977111117893"/>
      </top>
      <bottom/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8" fontId="0" fillId="0" borderId="0" xfId="0" applyNumberFormat="1"/>
    <xf numFmtId="0" fontId="0" fillId="4" borderId="0" xfId="0" applyFill="1" applyBorder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/>
    <xf numFmtId="164" fontId="0" fillId="0" borderId="0" xfId="0" applyNumberFormat="1" applyBorder="1" applyAlignment="1">
      <alignment horizontal="center"/>
    </xf>
    <xf numFmtId="8" fontId="0" fillId="2" borderId="1" xfId="0" applyNumberFormat="1" applyFill="1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4" fontId="0" fillId="0" borderId="0" xfId="0" applyNumberFormat="1"/>
    <xf numFmtId="164" fontId="0" fillId="2" borderId="0" xfId="0" applyNumberFormat="1" applyFill="1"/>
    <xf numFmtId="0" fontId="0" fillId="0" borderId="0" xfId="0" applyFill="1"/>
    <xf numFmtId="8" fontId="0" fillId="0" borderId="0" xfId="0" applyNumberFormat="1" applyFill="1"/>
    <xf numFmtId="8" fontId="0" fillId="2" borderId="0" xfId="0" applyNumberFormat="1" applyFill="1" applyBorder="1" applyAlignment="1">
      <alignment horizontal="left"/>
    </xf>
    <xf numFmtId="0" fontId="0" fillId="6" borderId="0" xfId="0" applyFill="1" applyAlignment="1">
      <alignment horizontal="center"/>
    </xf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7" borderId="2" xfId="0" applyFont="1" applyFill="1" applyBorder="1"/>
    <xf numFmtId="0" fontId="2" fillId="8" borderId="0" xfId="0" applyFont="1" applyFill="1"/>
    <xf numFmtId="164" fontId="0" fillId="0" borderId="0" xfId="0" applyNumberFormat="1" applyFill="1"/>
    <xf numFmtId="0" fontId="0" fillId="0" borderId="1" xfId="0" applyFill="1" applyBorder="1" applyAlignment="1">
      <alignment horizontal="center"/>
    </xf>
    <xf numFmtId="0" fontId="0" fillId="3" borderId="1" xfId="0" applyFill="1" applyBorder="1"/>
    <xf numFmtId="0" fontId="2" fillId="9" borderId="3" xfId="0" applyFont="1" applyFill="1" applyBorder="1"/>
    <xf numFmtId="0" fontId="0" fillId="0" borderId="0" xfId="0" applyFill="1" applyBorder="1"/>
    <xf numFmtId="0" fontId="3" fillId="10" borderId="0" xfId="0" applyFont="1" applyFill="1" applyBorder="1"/>
    <xf numFmtId="8" fontId="0" fillId="2" borderId="0" xfId="0" applyNumberFormat="1" applyFill="1" applyBorder="1" applyAlignment="1">
      <alignment horizontal="right"/>
    </xf>
  </cellXfs>
  <cellStyles count="1">
    <cellStyle name="Normal" xfId="0" builtinId="0"/>
  </cellStyles>
  <dxfs count="11">
    <dxf>
      <font>
        <color rgb="FF9C0006"/>
      </font>
    </dxf>
    <dxf>
      <numFmt numFmtId="164" formatCode="&quot;R$&quot;\ #,##0.00"/>
    </dxf>
    <dxf>
      <fill>
        <patternFill patternType="solid">
          <bgColor rgb="FFFFFF00"/>
        </patternFill>
      </fill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B2A41"/>
      <color rgb="FFE3EEF8"/>
      <color rgb="FF0E5C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VIABILIDADE DE UM PROJETO.xlsx]Gráfico 1!Tabela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1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3F06331-4EB2-4EC4-9FAE-35CB1665EB79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1F83F681-D4EB-48F4-9E67-15093784E632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54D0B170-B1DC-4DE2-A309-E184F3DAC506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55725D0-FEAC-4F69-8D7A-585E822B0190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5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8BA23CA-D9DA-483F-87CD-26BA6C16BF17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6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70246F1F-09CE-4775-81C6-06C81E4ACE5E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7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9911D19-0D43-481A-9D51-03D1D845AB77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5789480227716628E-2"/>
          <c:y val="5.3981513194893721E-2"/>
          <c:w val="0.94868418925992115"/>
          <c:h val="0.925050816565439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'Gráfico 1'!$D$6:$D$12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76-4B54-BE92-3890FF05B7F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3F06331-4EB2-4EC4-9FAE-35CB1665EB7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776-4B54-BE92-3890FF05B7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83F681-D4EB-48F4-9E67-15093784E63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776-4B54-BE92-3890FF05B7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D0B170-B1DC-4DE2-A309-E184F3DAC50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776-4B54-BE92-3890FF05B7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55725D0-FEAC-4F69-8D7A-585E822B019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776-4B54-BE92-3890FF05B7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8BA23CA-D9DA-483F-87CD-26BA6C16BF17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776-4B54-BE92-3890FF05B7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0246F1F-09CE-4775-81C6-06C81E4ACE5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76-4B54-BE92-3890FF05B7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911D19-0D43-481A-9D51-03D1D845AB77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776-4B54-BE92-3890FF05B7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'Gráfico 1'!$D$6:$D$12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'Gráfico 1'!$D$6:$D$12</c:f>
              <c:numCache>
                <c:formatCode>"R$"\ #,##0.00</c:formatCode>
                <c:ptCount val="7"/>
                <c:pt idx="0">
                  <c:v>-10000000</c:v>
                </c:pt>
                <c:pt idx="1">
                  <c:v>2400000</c:v>
                </c:pt>
                <c:pt idx="2">
                  <c:v>2400000</c:v>
                </c:pt>
                <c:pt idx="3">
                  <c:v>2400000</c:v>
                </c:pt>
                <c:pt idx="4">
                  <c:v>2400000</c:v>
                </c:pt>
                <c:pt idx="5">
                  <c:v>2400000</c:v>
                </c:pt>
                <c:pt idx="6">
                  <c:v>2400000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1'!$D$6:$D$12</c15:f>
                <c15:dlblRangeCache>
                  <c:ptCount val="7"/>
                  <c:pt idx="0">
                    <c:v>-R$ 10 MM</c:v>
                  </c:pt>
                  <c:pt idx="1">
                    <c:v>R$ 2,4 M</c:v>
                  </c:pt>
                  <c:pt idx="2">
                    <c:v>R$ 2,4 M</c:v>
                  </c:pt>
                  <c:pt idx="3">
                    <c:v>R$ 2,4 M</c:v>
                  </c:pt>
                  <c:pt idx="4">
                    <c:v>R$ 2,4 M</c:v>
                  </c:pt>
                  <c:pt idx="5">
                    <c:v>R$ 2,4 M</c:v>
                  </c:pt>
                  <c:pt idx="6">
                    <c:v>R$ 2,4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2776-4B54-BE92-3890FF05B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2343008"/>
        <c:axId val="2102347808"/>
      </c:barChart>
      <c:catAx>
        <c:axId val="210234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pt-BR" sz="1200"/>
                  <a:t>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347808"/>
        <c:crosses val="autoZero"/>
        <c:auto val="1"/>
        <c:lblAlgn val="ctr"/>
        <c:lblOffset val="100"/>
        <c:noMultiLvlLbl val="0"/>
      </c:catAx>
      <c:valAx>
        <c:axId val="210234780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10234300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VIABILIDADE DE UM PROJETO.xlsx]Gráfico 2!Tabela dinâmica2</c:name>
    <c:fmtId val="7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5C45AE9-6A44-46A7-9FDD-7FC919DC6B14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BF1BC96-ADBD-4529-8F95-AD486B58001A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9232F5-0B4D-4EA0-8105-467B3946630B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5205257-0351-4841-9D7B-C637E3BA3F78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6FC753-C0D1-4065-958D-C932AD51687C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6B113F2-CC6A-46D7-9B41-6CC2C820B5A0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87CA66A-5B5E-448A-93CF-7E9FF5F6311E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5C45AE9-6A44-46A7-9FDD-7FC919DC6B14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8B87945-2BFB-4461-B0B2-FE8E284D444B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938B155-6E9D-4AAF-9499-E59E53E0F231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7B7BB41-536F-4385-A2B1-989F2F40FBAB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510B079-FDFF-4CF7-85EE-48D296D4567D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4F73AC-D381-4941-BFCD-CB5746D737BB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E887834-D1A1-4B63-99FB-7AF2044CCD91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5C45AE9-6A44-46A7-9FDD-7FC919DC6B14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7AAE409-9AC9-437C-BBDF-AEE91F33C260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3806E7-F499-478E-8EC1-018689A7CCFF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50477FA-0667-4EF5-8247-3A4B0C33C65A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3B4A9F2-0707-4F07-B1C1-163FC58B3A57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31A3FBD-5914-4B84-BC83-1CACBAE5988F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5BB6454-7BB3-42FE-8EB3-9E0A02AAFD3B}" type="CELLRANGE">
                  <a:rPr lang="pt-BR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2C15E86-8B64-47C8-AE05-05A6C6BE356D}" type="CELLRANG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6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A0C0BB1-5129-4716-980E-DEEF03A5FE3F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7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4D449440-29F7-45CE-B8C1-FC17BEAD8223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8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C499C89-3D9B-4C3C-8C5A-53CEBD3D7A8A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9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00DBF78-E794-42ED-A983-ECC5A67F4ABF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7D435D3-E386-4CCC-89E2-465E4639943C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BC58BDC6-1178-43BC-A35C-C6B37EAD5286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4969770048104087E-2"/>
          <c:y val="8.3921192173522841E-2"/>
          <c:w val="0.93006045990379183"/>
          <c:h val="0.865344632557938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'Gráfico 2'!$D$6:$D$12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829-41D8-BAA4-76783DA23CC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2829-41D8-BAA4-76783DA23CC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2829-41D8-BAA4-76783DA23CC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2829-41D8-BAA4-76783DA23CC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2829-41D8-BAA4-76783DA23CC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2829-41D8-BAA4-76783DA23CC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2829-41D8-BAA4-76783DA23CC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2C15E86-8B64-47C8-AE05-05A6C6BE356D}" type="CELLRANGE">
                      <a:rPr lang="en-US">
                        <a:solidFill>
                          <a:schemeClr val="tx1"/>
                        </a:solidFill>
                      </a:rPr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829-41D8-BAA4-76783DA23C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A0C0BB1-5129-4716-980E-DEEF03A5FE3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829-41D8-BAA4-76783DA23C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449440-29F7-45CE-B8C1-FC17BEAD822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829-41D8-BAA4-76783DA23C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C499C89-3D9B-4C3C-8C5A-53CEBD3D7A8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829-41D8-BAA4-76783DA23CC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0DBF78-E794-42ED-A983-ECC5A67F4AB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829-41D8-BAA4-76783DA23CC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D435D3-E386-4CCC-89E2-465E4639943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829-41D8-BAA4-76783DA23CC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C58BDC6-1178-43BC-A35C-C6B37EAD528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829-41D8-BAA4-76783DA23C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'Gráfico 2'!$D$6:$D$12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'Gráfico 2'!$D$6:$D$12</c:f>
              <c:numCache>
                <c:formatCode>"R$"\ #,##0.00</c:formatCode>
                <c:ptCount val="7"/>
                <c:pt idx="0">
                  <c:v>-10000000</c:v>
                </c:pt>
                <c:pt idx="1">
                  <c:v>2162162.1621621619</c:v>
                </c:pt>
                <c:pt idx="2">
                  <c:v>1947893.8397857314</c:v>
                </c:pt>
                <c:pt idx="3">
                  <c:v>1754859.3151222805</c:v>
                </c:pt>
                <c:pt idx="4">
                  <c:v>1580954.3379480003</c:v>
                </c:pt>
                <c:pt idx="5">
                  <c:v>1424283.1873405408</c:v>
                </c:pt>
                <c:pt idx="6">
                  <c:v>1283138.0066130997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2'!$D$6:$D$12</c15:f>
                <c15:dlblRangeCache>
                  <c:ptCount val="7"/>
                  <c:pt idx="0">
                    <c:v>-R$ 10 MM</c:v>
                  </c:pt>
                  <c:pt idx="1">
                    <c:v>R$ 2,16 M</c:v>
                  </c:pt>
                  <c:pt idx="2">
                    <c:v>R$ 1,95 M</c:v>
                  </c:pt>
                  <c:pt idx="3">
                    <c:v>R$ 1,75 M</c:v>
                  </c:pt>
                  <c:pt idx="4">
                    <c:v>R$ 1,58 M</c:v>
                  </c:pt>
                  <c:pt idx="5">
                    <c:v>R$ 1,42 M</c:v>
                  </c:pt>
                  <c:pt idx="6">
                    <c:v>R$ 1,28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2829-41D8-BAA4-76783DA2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2343008"/>
        <c:axId val="2102347808"/>
      </c:barChart>
      <c:catAx>
        <c:axId val="210234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pt-BR" sz="1200" b="1" i="0" u="none" strike="noStrike" kern="1200" baseline="0">
                    <a:solidFill>
                      <a:schemeClr val="tx1"/>
                    </a:solidFill>
                  </a:rPr>
                  <a:t>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347808"/>
        <c:crosses val="autoZero"/>
        <c:auto val="1"/>
        <c:lblAlgn val="ctr"/>
        <c:lblOffset val="100"/>
        <c:noMultiLvlLbl val="0"/>
      </c:catAx>
      <c:valAx>
        <c:axId val="210234780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10234300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VIABILIDADE DE UM PROJETO.xlsx]Gráfico 3!Tabela dinâmica3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3'!$B$7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'Gráfico 3'!$A$8:$A$14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'Gráfico 3'!$B$8:$B$14</c:f>
              <c:numCache>
                <c:formatCode>"R$"\ #,##0.00</c:formatCode>
                <c:ptCount val="7"/>
                <c:pt idx="0">
                  <c:v>-10000000</c:v>
                </c:pt>
                <c:pt idx="1">
                  <c:v>-7837837.8378378376</c:v>
                </c:pt>
                <c:pt idx="2">
                  <c:v>-5889943.9980521062</c:v>
                </c:pt>
                <c:pt idx="3">
                  <c:v>-4135084.682929826</c:v>
                </c:pt>
                <c:pt idx="4">
                  <c:v>-2554130.3449818259</c:v>
                </c:pt>
                <c:pt idx="5">
                  <c:v>-1129847.1576412851</c:v>
                </c:pt>
                <c:pt idx="6">
                  <c:v>153290.84897181462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A-47E1-A463-C58D8E88C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680736"/>
        <c:axId val="2100676416"/>
      </c:lineChart>
      <c:catAx>
        <c:axId val="2100680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pt-BR" sz="1200" b="1" i="0" u="none" strike="noStrike" kern="1200" cap="none" spc="0" normalizeH="0" baseline="0" noProof="0">
                    <a:ln>
                      <a:noFill/>
                    </a:ln>
                    <a:solidFill>
                      <a:schemeClr val="tx1"/>
                    </a:solidFill>
                    <a:effectLst/>
                    <a:uLnTx/>
                    <a:uFillTx/>
                    <a:latin typeface="+mn-lt"/>
                  </a:rPr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0676416"/>
        <c:crosses val="autoZero"/>
        <c:auto val="1"/>
        <c:lblAlgn val="ctr"/>
        <c:lblOffset val="100"/>
        <c:noMultiLvlLbl val="0"/>
      </c:catAx>
      <c:valAx>
        <c:axId val="2100676416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06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VIABILIDADE DE UM PROJETO.xlsx]Gráfico 1!Tabela dinâmica1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41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D0BBC9B4-7E4D-4619-A491-9B31514CFCD2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E0BF7428-563F-40BA-BA3D-21ED326A3165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A86BB056-F617-4CDE-B608-44A21AE11F8C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E0ED525-76E8-49CF-BD1C-9EED54BCB9C0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5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D643C192-FE95-415A-81EE-90D6E9CCA316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6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2780D17-FC07-4BE5-B8EF-5345D8FE3B21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7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8F9F91F3-8280-42A8-8041-9E9169B606DE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49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DA9FDFBE-3FC4-48C7-BA29-1005E8F7D87F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0EFFF86D-12FA-46A8-8717-D94C5A1A6E25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9236587-754D-4535-8264-0CA5E2B17473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6CE51C3-E418-4A4E-AD11-DC153D421FF0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FC28A934-5B61-4F35-BF88-CD0DE674FC20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A15A1D58-CE3E-4AAA-81C4-2CC895C99554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5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7539C32D-A80A-4156-A311-845CCAF1B1F5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7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E5589FE8-B169-4D17-B891-1B174618FC66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8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ED5DCDD9-4C67-4546-B9CE-8E118CFBDB08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9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A118F5FC-75EC-484E-A6C9-2D0E8BF8F6B8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0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7DD0B0CE-9633-4177-B916-58053FDE0846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1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EEC5575-4DA1-46E1-BD6D-AA1967EFB0BB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1217C2A8-6245-4FD7-849A-ED56B7335440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A5592B21-C0B8-405C-AE6E-C88645A41B05}" type="CELLRANGE">
                  <a:rPr lang="pt-BR"/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5789480227716628E-2"/>
          <c:y val="5.3981513194893721E-2"/>
          <c:w val="0.94868418925992115"/>
          <c:h val="0.925050816565439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'Gráfico 1'!$D$6:$D$12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4-4366-A1E4-6736C83E585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5589FE8-B169-4D17-B891-1B174618FC6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04-4366-A1E4-6736C83E585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5DCDD9-4C67-4546-B9CE-8E118CFBDB0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204-4366-A1E4-6736C83E585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118F5FC-75EC-484E-A6C9-2D0E8BF8F6B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204-4366-A1E4-6736C83E585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D0B0CE-9633-4177-B916-58053FDE084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204-4366-A1E4-6736C83E585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EC5575-4DA1-46E1-BD6D-AA1967EFB0B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204-4366-A1E4-6736C83E585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217C2A8-6245-4FD7-849A-ED56B733544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204-4366-A1E4-6736C83E585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5592B21-C0B8-405C-AE6E-C88645A41B0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204-4366-A1E4-6736C83E58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'Gráfico 1'!$D$6:$D$12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'Gráfico 1'!$D$6:$D$12</c:f>
              <c:numCache>
                <c:formatCode>"R$"\ #,##0.00</c:formatCode>
                <c:ptCount val="7"/>
                <c:pt idx="0">
                  <c:v>-10000000</c:v>
                </c:pt>
                <c:pt idx="1">
                  <c:v>2400000</c:v>
                </c:pt>
                <c:pt idx="2">
                  <c:v>2400000</c:v>
                </c:pt>
                <c:pt idx="3">
                  <c:v>2400000</c:v>
                </c:pt>
                <c:pt idx="4">
                  <c:v>2400000</c:v>
                </c:pt>
                <c:pt idx="5">
                  <c:v>2400000</c:v>
                </c:pt>
                <c:pt idx="6">
                  <c:v>2400000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1'!$D$6:$D$12</c15:f>
                <c15:dlblRangeCache>
                  <c:ptCount val="7"/>
                  <c:pt idx="0">
                    <c:v>-R$ 10 MM</c:v>
                  </c:pt>
                  <c:pt idx="1">
                    <c:v>R$ 2,4 M</c:v>
                  </c:pt>
                  <c:pt idx="2">
                    <c:v>R$ 2,4 M</c:v>
                  </c:pt>
                  <c:pt idx="3">
                    <c:v>R$ 2,4 M</c:v>
                  </c:pt>
                  <c:pt idx="4">
                    <c:v>R$ 2,4 M</c:v>
                  </c:pt>
                  <c:pt idx="5">
                    <c:v>R$ 2,4 M</c:v>
                  </c:pt>
                  <c:pt idx="6">
                    <c:v>R$ 2,4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C204-4366-A1E4-6736C83E5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2343008"/>
        <c:axId val="2102347808"/>
      </c:barChart>
      <c:catAx>
        <c:axId val="210234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pt-BR" sz="1200" b="1" i="0" u="none" strike="noStrike" kern="1200" baseline="0">
                    <a:solidFill>
                      <a:schemeClr val="tx1"/>
                    </a:solidFill>
                  </a:rPr>
                  <a:t>Anos</a:t>
                </a:r>
                <a:endParaRPr lang="pt-BR" sz="1200"/>
              </a:p>
            </c:rich>
          </c:tx>
          <c:layout>
            <c:manualLayout>
              <c:xMode val="edge"/>
              <c:yMode val="edge"/>
              <c:x val="3.9473700569291571E-3"/>
              <c:y val="0.35783141572900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347808"/>
        <c:crosses val="autoZero"/>
        <c:auto val="1"/>
        <c:lblAlgn val="ctr"/>
        <c:lblOffset val="100"/>
        <c:noMultiLvlLbl val="0"/>
      </c:catAx>
      <c:valAx>
        <c:axId val="210234780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10234300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VIABILIDADE DE UM PROJETO.xlsx]Gráfico 2!Tabela dinâmica2</c:name>
    <c:fmtId val="1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A7CD7B0-0544-49E6-A71C-241516435FA3}" type="CELLRANGE">
                  <a:rPr lang="en-US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037DA06-3F66-484B-9038-1879C8BE4EF1}" type="CELLRANGE">
                  <a:rPr lang="pt-BR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438EAC6-98A0-4D26-975D-A33014295474}" type="CELLRANGE">
                  <a:rPr lang="pt-BR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9B89206-D231-445F-91F1-430039EA1D0D}" type="CELLRANGE">
                  <a:rPr lang="pt-BR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4BE9BF7-BA78-4B3F-89FF-BB970FD0289E}" type="CELLRANGE">
                  <a:rPr lang="pt-BR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23ABB0B-58EE-4759-AA27-474CAF2CC7EC}" type="CELLRANGE">
                  <a:rPr lang="pt-BR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40477A-42FF-4297-9F51-5F3DECD704AC}" type="CELLRANGE">
                  <a:rPr lang="pt-BR"/>
                  <a:pPr>
                    <a:defRPr b="1"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2'!$D$6:$D$12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18B-4D0D-85C4-63B2A2D6E5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8B-4D0D-85C4-63B2A2D6E5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18B-4D0D-85C4-63B2A2D6E5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8B-4D0D-85C4-63B2A2D6E5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18B-4D0D-85C4-63B2A2D6E5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8B-4D0D-85C4-63B2A2D6E52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18B-4D0D-85C4-63B2A2D6E52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A7CD7B0-0544-49E6-A71C-241516435FA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18B-4D0D-85C4-63B2A2D6E5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37DA06-3F66-484B-9038-1879C8BE4EF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18B-4D0D-85C4-63B2A2D6E5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38EAC6-98A0-4D26-975D-A3301429547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18B-4D0D-85C4-63B2A2D6E52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B89206-D231-445F-91F1-430039EA1D0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18B-4D0D-85C4-63B2A2D6E52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BE9BF7-BA78-4B3F-89FF-BB970FD0289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18B-4D0D-85C4-63B2A2D6E52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3ABB0B-58EE-4759-AA27-474CAF2CC7E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18B-4D0D-85C4-63B2A2D6E52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40477A-42FF-4297-9F51-5F3DECD704A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18B-4D0D-85C4-63B2A2D6E5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'Gráfico 2'!$D$6:$D$12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'Gráfico 2'!$D$6:$D$12</c:f>
              <c:numCache>
                <c:formatCode>"R$"\ #,##0.00</c:formatCode>
                <c:ptCount val="7"/>
                <c:pt idx="0">
                  <c:v>-10000000</c:v>
                </c:pt>
                <c:pt idx="1">
                  <c:v>2162162.1621621619</c:v>
                </c:pt>
                <c:pt idx="2">
                  <c:v>1947893.8397857314</c:v>
                </c:pt>
                <c:pt idx="3">
                  <c:v>1754859.3151222805</c:v>
                </c:pt>
                <c:pt idx="4">
                  <c:v>1580954.3379480003</c:v>
                </c:pt>
                <c:pt idx="5">
                  <c:v>1424283.1873405408</c:v>
                </c:pt>
                <c:pt idx="6">
                  <c:v>1283138.0066130997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2'!$D$6:$D$12</c15:f>
                <c15:dlblRangeCache>
                  <c:ptCount val="7"/>
                  <c:pt idx="0">
                    <c:v>-R$ 10 MM</c:v>
                  </c:pt>
                  <c:pt idx="1">
                    <c:v>R$ 2,16 M</c:v>
                  </c:pt>
                  <c:pt idx="2">
                    <c:v>R$ 1,95 M</c:v>
                  </c:pt>
                  <c:pt idx="3">
                    <c:v>R$ 1,75 M</c:v>
                  </c:pt>
                  <c:pt idx="4">
                    <c:v>R$ 1,58 M</c:v>
                  </c:pt>
                  <c:pt idx="5">
                    <c:v>R$ 1,42 M</c:v>
                  </c:pt>
                  <c:pt idx="6">
                    <c:v>R$ 1,28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18B-4D0D-85C4-63B2A2D6E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343008"/>
        <c:axId val="2102347808"/>
      </c:barChart>
      <c:catAx>
        <c:axId val="210234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2347808"/>
        <c:crosses val="autoZero"/>
        <c:auto val="1"/>
        <c:lblAlgn val="ctr"/>
        <c:lblOffset val="100"/>
        <c:noMultiLvlLbl val="0"/>
      </c:catAx>
      <c:valAx>
        <c:axId val="210234780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10234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VIABILIDADE DE UM PROJETO.xlsx]Gráfico 3!Tabela dinâmica3</c:name>
    <c:fmtId val="0"/>
  </c:pivotSource>
  <c:chart>
    <c:autoTitleDeleted val="1"/>
    <c:pivotFmts>
      <c:pivotFmt>
        <c:idx val="0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3'!$B$7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'Gráfico 3'!$A$8:$A$14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'Gráfico 3'!$B$8:$B$14</c:f>
              <c:numCache>
                <c:formatCode>"R$"\ #,##0.00</c:formatCode>
                <c:ptCount val="7"/>
                <c:pt idx="0">
                  <c:v>-10000000</c:v>
                </c:pt>
                <c:pt idx="1">
                  <c:v>-7837837.8378378376</c:v>
                </c:pt>
                <c:pt idx="2">
                  <c:v>-5889943.9980521062</c:v>
                </c:pt>
                <c:pt idx="3">
                  <c:v>-4135084.682929826</c:v>
                </c:pt>
                <c:pt idx="4">
                  <c:v>-2554130.3449818259</c:v>
                </c:pt>
                <c:pt idx="5">
                  <c:v>-1129847.1576412851</c:v>
                </c:pt>
                <c:pt idx="6">
                  <c:v>153290.84897181462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1-4A73-AEF6-AE8304ECA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680736"/>
        <c:axId val="2100676416"/>
      </c:lineChart>
      <c:catAx>
        <c:axId val="2100680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pt-BR" sz="1200" b="1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0676416"/>
        <c:crosses val="autoZero"/>
        <c:auto val="1"/>
        <c:lblAlgn val="ctr"/>
        <c:lblOffset val="100"/>
        <c:noMultiLvlLbl val="0"/>
      </c:catAx>
      <c:valAx>
        <c:axId val="2100676416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06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hyperlink" Target="#'BASE DE DADOS'!A1"/><Relationship Id="rId4" Type="http://schemas.openxmlformats.org/officeDocument/2006/relationships/image" Target="../media/image4.svg"/><Relationship Id="rId9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0</xdr:rowOff>
    </xdr:from>
    <xdr:to>
      <xdr:col>8</xdr:col>
      <xdr:colOff>99060</xdr:colOff>
      <xdr:row>2</xdr:row>
      <xdr:rowOff>167640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26E7C-AA14-CD39-1F78-D8970A759563}"/>
            </a:ext>
          </a:extLst>
        </xdr:cNvPr>
        <xdr:cNvSpPr txBox="1"/>
      </xdr:nvSpPr>
      <xdr:spPr>
        <a:xfrm>
          <a:off x="9243060" y="266700"/>
          <a:ext cx="2766060" cy="350520"/>
        </a:xfrm>
        <a:prstGeom prst="rect">
          <a:avLst/>
        </a:prstGeom>
        <a:solidFill>
          <a:srgbClr val="1B2A4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Clique aqui para ir para o dashboard</a:t>
          </a:r>
          <a:endParaRPr lang="pt-BR" sz="1400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12492</xdr:rowOff>
    </xdr:from>
    <xdr:to>
      <xdr:col>14</xdr:col>
      <xdr:colOff>249836</xdr:colOff>
      <xdr:row>31</xdr:row>
      <xdr:rowOff>49967</xdr:rowOff>
    </xdr:to>
    <xdr:sp macro="" textlink="">
      <xdr:nvSpPr>
        <xdr:cNvPr id="108" name="Retângulo 107">
          <a:extLst>
            <a:ext uri="{FF2B5EF4-FFF2-40B4-BE49-F238E27FC236}">
              <a16:creationId xmlns:a16="http://schemas.microsoft.com/office/drawing/2014/main" id="{68ECE334-53E8-727F-850C-B66FBC9A8678}"/>
            </a:ext>
          </a:extLst>
        </xdr:cNvPr>
        <xdr:cNvSpPr/>
      </xdr:nvSpPr>
      <xdr:spPr>
        <a:xfrm>
          <a:off x="0" y="12492"/>
          <a:ext cx="9287156" cy="57067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125293</xdr:colOff>
      <xdr:row>0</xdr:row>
      <xdr:rowOff>0</xdr:rowOff>
    </xdr:from>
    <xdr:to>
      <xdr:col>11</xdr:col>
      <xdr:colOff>171013</xdr:colOff>
      <xdr:row>2</xdr:row>
      <xdr:rowOff>52819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D234A01-9131-E1E0-D89F-B386B3A77683}"/>
            </a:ext>
          </a:extLst>
        </xdr:cNvPr>
        <xdr:cNvSpPr txBox="1"/>
      </xdr:nvSpPr>
      <xdr:spPr>
        <a:xfrm>
          <a:off x="125293" y="0"/>
          <a:ext cx="6778802" cy="415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solidFill>
                <a:srgbClr val="1B2A41"/>
              </a:solidFill>
            </a:rPr>
            <a:t>Análise de viabilidade econômica de</a:t>
          </a:r>
          <a:r>
            <a:rPr lang="pt-BR" sz="2000" baseline="0">
              <a:solidFill>
                <a:srgbClr val="1B2A41"/>
              </a:solidFill>
            </a:rPr>
            <a:t> um</a:t>
          </a:r>
          <a:r>
            <a:rPr lang="pt-BR" sz="2000">
              <a:solidFill>
                <a:srgbClr val="1B2A41"/>
              </a:solidFill>
            </a:rPr>
            <a:t> projeto</a:t>
          </a:r>
        </a:p>
      </xdr:txBody>
    </xdr:sp>
    <xdr:clientData/>
  </xdr:twoCellAnchor>
  <xdr:twoCellAnchor>
    <xdr:from>
      <xdr:col>0</xdr:col>
      <xdr:colOff>187379</xdr:colOff>
      <xdr:row>2</xdr:row>
      <xdr:rowOff>51210</xdr:rowOff>
    </xdr:from>
    <xdr:to>
      <xdr:col>13</xdr:col>
      <xdr:colOff>601980</xdr:colOff>
      <xdr:row>5</xdr:row>
      <xdr:rowOff>89483</xdr:rowOff>
    </xdr:to>
    <xdr:grpSp>
      <xdr:nvGrpSpPr>
        <xdr:cNvPr id="168" name="Agrupar 167">
          <a:extLst>
            <a:ext uri="{FF2B5EF4-FFF2-40B4-BE49-F238E27FC236}">
              <a16:creationId xmlns:a16="http://schemas.microsoft.com/office/drawing/2014/main" id="{393C8B67-5227-20BF-375F-96119A6532ED}"/>
            </a:ext>
          </a:extLst>
        </xdr:cNvPr>
        <xdr:cNvGrpSpPr/>
      </xdr:nvGrpSpPr>
      <xdr:grpSpPr>
        <a:xfrm>
          <a:off x="187379" y="416970"/>
          <a:ext cx="8842321" cy="586913"/>
          <a:chOff x="199869" y="420468"/>
          <a:chExt cx="8918648" cy="604650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46976D0C-9C3F-CAB7-800D-5DA2F51769EA}"/>
              </a:ext>
            </a:extLst>
          </xdr:cNvPr>
          <xdr:cNvSpPr/>
        </xdr:nvSpPr>
        <xdr:spPr>
          <a:xfrm>
            <a:off x="187379" y="436520"/>
            <a:ext cx="2794855" cy="576107"/>
          </a:xfrm>
          <a:prstGeom prst="roundRect">
            <a:avLst/>
          </a:prstGeom>
          <a:solidFill>
            <a:srgbClr val="1B2A4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5695675-D4C9-5987-DB07-7AE55CB2DF5C}"/>
              </a:ext>
            </a:extLst>
          </xdr:cNvPr>
          <xdr:cNvSpPr/>
        </xdr:nvSpPr>
        <xdr:spPr>
          <a:xfrm>
            <a:off x="3261266" y="428494"/>
            <a:ext cx="2789110" cy="576107"/>
          </a:xfrm>
          <a:prstGeom prst="roundRect">
            <a:avLst/>
          </a:prstGeom>
          <a:solidFill>
            <a:srgbClr val="1B2A4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822D9EA-6DFE-9C87-1A24-8EE6332EA6DD}"/>
              </a:ext>
            </a:extLst>
          </xdr:cNvPr>
          <xdr:cNvSpPr/>
        </xdr:nvSpPr>
        <xdr:spPr>
          <a:xfrm>
            <a:off x="6329408" y="420468"/>
            <a:ext cx="2789109" cy="576107"/>
          </a:xfrm>
          <a:prstGeom prst="roundRect">
            <a:avLst/>
          </a:prstGeom>
          <a:solidFill>
            <a:srgbClr val="1B2A4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8</xdr:col>
      <xdr:colOff>102308</xdr:colOff>
      <xdr:row>2</xdr:row>
      <xdr:rowOff>93315</xdr:rowOff>
    </xdr:from>
    <xdr:to>
      <xdr:col>8</xdr:col>
      <xdr:colOff>587932</xdr:colOff>
      <xdr:row>5</xdr:row>
      <xdr:rowOff>28578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C8158897-D781-67F9-554A-7E63538447ED}"/>
            </a:ext>
          </a:extLst>
        </xdr:cNvPr>
        <xdr:cNvSpPr/>
      </xdr:nvSpPr>
      <xdr:spPr>
        <a:xfrm>
          <a:off x="5498767" y="455577"/>
          <a:ext cx="485624" cy="478657"/>
        </a:xfrm>
        <a:prstGeom prst="ellipse">
          <a:avLst/>
        </a:prstGeom>
        <a:solidFill>
          <a:srgbClr val="0E5C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218607</xdr:colOff>
      <xdr:row>2</xdr:row>
      <xdr:rowOff>39611</xdr:rowOff>
    </xdr:from>
    <xdr:to>
      <xdr:col>4</xdr:col>
      <xdr:colOff>18737</xdr:colOff>
      <xdr:row>3</xdr:row>
      <xdr:rowOff>100571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3E7D2D3A-203A-572A-371D-2512C8DFAFC3}"/>
            </a:ext>
          </a:extLst>
        </xdr:cNvPr>
        <xdr:cNvSpPr txBox="1"/>
      </xdr:nvSpPr>
      <xdr:spPr>
        <a:xfrm>
          <a:off x="218607" y="401873"/>
          <a:ext cx="2748196" cy="242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chemeClr val="bg1"/>
              </a:solidFill>
            </a:rPr>
            <a:t>TMA </a:t>
          </a:r>
        </a:p>
      </xdr:txBody>
    </xdr:sp>
    <xdr:clientData/>
  </xdr:twoCellAnchor>
  <xdr:twoCellAnchor>
    <xdr:from>
      <xdr:col>4</xdr:col>
      <xdr:colOff>331032</xdr:colOff>
      <xdr:row>2</xdr:row>
      <xdr:rowOff>21263</xdr:rowOff>
    </xdr:from>
    <xdr:to>
      <xdr:col>9</xdr:col>
      <xdr:colOff>56212</xdr:colOff>
      <xdr:row>3</xdr:row>
      <xdr:rowOff>81702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1479EDC4-1D66-4603-83FA-1DD4AB623713}"/>
            </a:ext>
          </a:extLst>
        </xdr:cNvPr>
        <xdr:cNvSpPr txBox="1"/>
      </xdr:nvSpPr>
      <xdr:spPr>
        <a:xfrm>
          <a:off x="3279098" y="383525"/>
          <a:ext cx="2785671" cy="241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chemeClr val="bg1"/>
              </a:solidFill>
            </a:rPr>
            <a:t>Investimento inicial</a:t>
          </a:r>
        </a:p>
      </xdr:txBody>
    </xdr:sp>
    <xdr:clientData/>
  </xdr:twoCellAnchor>
  <xdr:twoCellAnchor>
    <xdr:from>
      <xdr:col>9</xdr:col>
      <xdr:colOff>234097</xdr:colOff>
      <xdr:row>2</xdr:row>
      <xdr:rowOff>4956</xdr:rowOff>
    </xdr:from>
    <xdr:to>
      <xdr:col>13</xdr:col>
      <xdr:colOff>556385</xdr:colOff>
      <xdr:row>3</xdr:row>
      <xdr:rowOff>65395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88D134EA-AB44-4D96-A990-B3E7139D6E4C}"/>
            </a:ext>
          </a:extLst>
        </xdr:cNvPr>
        <xdr:cNvSpPr txBox="1"/>
      </xdr:nvSpPr>
      <xdr:spPr>
        <a:xfrm>
          <a:off x="6223417" y="370716"/>
          <a:ext cx="2760688" cy="243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chemeClr val="bg1"/>
              </a:solidFill>
            </a:rPr>
            <a:t>VPL</a:t>
          </a:r>
        </a:p>
      </xdr:txBody>
    </xdr:sp>
    <xdr:clientData/>
  </xdr:twoCellAnchor>
  <xdr:twoCellAnchor>
    <xdr:from>
      <xdr:col>0</xdr:col>
      <xdr:colOff>268449</xdr:colOff>
      <xdr:row>2</xdr:row>
      <xdr:rowOff>158271</xdr:rowOff>
    </xdr:from>
    <xdr:to>
      <xdr:col>4</xdr:col>
      <xdr:colOff>118547</xdr:colOff>
      <xdr:row>5</xdr:row>
      <xdr:rowOff>27107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2ADF5D8-5D56-4405-8CF6-29F755B5C0BD}"/>
            </a:ext>
          </a:extLst>
        </xdr:cNvPr>
        <xdr:cNvSpPr txBox="1"/>
      </xdr:nvSpPr>
      <xdr:spPr>
        <a:xfrm>
          <a:off x="268449" y="524031"/>
          <a:ext cx="2791418" cy="417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11%</a:t>
          </a:r>
        </a:p>
      </xdr:txBody>
    </xdr:sp>
    <xdr:clientData/>
  </xdr:twoCellAnchor>
  <xdr:twoCellAnchor>
    <xdr:from>
      <xdr:col>5</xdr:col>
      <xdr:colOff>533571</xdr:colOff>
      <xdr:row>2</xdr:row>
      <xdr:rowOff>159180</xdr:rowOff>
    </xdr:from>
    <xdr:to>
      <xdr:col>7</xdr:col>
      <xdr:colOff>460278</xdr:colOff>
      <xdr:row>5</xdr:row>
      <xdr:rowOff>29640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957F5E93-9A11-4280-88F7-553785A2B982}"/>
            </a:ext>
          </a:extLst>
        </xdr:cNvPr>
        <xdr:cNvSpPr txBox="1"/>
      </xdr:nvSpPr>
      <xdr:spPr>
        <a:xfrm>
          <a:off x="4093735" y="521442"/>
          <a:ext cx="1150904" cy="413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10MMM</a:t>
          </a:r>
        </a:p>
      </xdr:txBody>
    </xdr:sp>
    <xdr:clientData/>
  </xdr:twoCellAnchor>
  <xdr:twoCellAnchor>
    <xdr:from>
      <xdr:col>9</xdr:col>
      <xdr:colOff>135230</xdr:colOff>
      <xdr:row>2</xdr:row>
      <xdr:rowOff>135891</xdr:rowOff>
    </xdr:from>
    <xdr:to>
      <xdr:col>13</xdr:col>
      <xdr:colOff>266700</xdr:colOff>
      <xdr:row>5</xdr:row>
      <xdr:rowOff>52090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5EFE909F-C5F4-47E7-8237-041CC795E5A4}"/>
            </a:ext>
          </a:extLst>
        </xdr:cNvPr>
        <xdr:cNvSpPr txBox="1"/>
      </xdr:nvSpPr>
      <xdr:spPr>
        <a:xfrm>
          <a:off x="6124550" y="501651"/>
          <a:ext cx="2569870" cy="464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R$ 153.290,85</a:t>
          </a:r>
        </a:p>
      </xdr:txBody>
    </xdr:sp>
    <xdr:clientData/>
  </xdr:twoCellAnchor>
  <xdr:twoCellAnchor>
    <xdr:from>
      <xdr:col>3</xdr:col>
      <xdr:colOff>96186</xdr:colOff>
      <xdr:row>2</xdr:row>
      <xdr:rowOff>105807</xdr:rowOff>
    </xdr:from>
    <xdr:to>
      <xdr:col>3</xdr:col>
      <xdr:colOff>579311</xdr:colOff>
      <xdr:row>5</xdr:row>
      <xdr:rowOff>41070</xdr:rowOff>
    </xdr:to>
    <xdr:sp macro="" textlink="">
      <xdr:nvSpPr>
        <xdr:cNvPr id="126" name="Elipse 125">
          <a:extLst>
            <a:ext uri="{FF2B5EF4-FFF2-40B4-BE49-F238E27FC236}">
              <a16:creationId xmlns:a16="http://schemas.microsoft.com/office/drawing/2014/main" id="{9C582D07-092D-8DB0-D576-0FFBDE5A9249}"/>
            </a:ext>
          </a:extLst>
        </xdr:cNvPr>
        <xdr:cNvSpPr/>
      </xdr:nvSpPr>
      <xdr:spPr>
        <a:xfrm>
          <a:off x="2427906" y="471567"/>
          <a:ext cx="483125" cy="483903"/>
        </a:xfrm>
        <a:prstGeom prst="ellipse">
          <a:avLst/>
        </a:prstGeom>
        <a:solidFill>
          <a:srgbClr val="0E5C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46969</xdr:colOff>
      <xdr:row>2</xdr:row>
      <xdr:rowOff>97437</xdr:rowOff>
    </xdr:from>
    <xdr:to>
      <xdr:col>13</xdr:col>
      <xdr:colOff>530095</xdr:colOff>
      <xdr:row>5</xdr:row>
      <xdr:rowOff>32700</xdr:rowOff>
    </xdr:to>
    <xdr:sp macro="" textlink="">
      <xdr:nvSpPr>
        <xdr:cNvPr id="127" name="Elipse 126">
          <a:extLst>
            <a:ext uri="{FF2B5EF4-FFF2-40B4-BE49-F238E27FC236}">
              <a16:creationId xmlns:a16="http://schemas.microsoft.com/office/drawing/2014/main" id="{897B283D-0404-3623-C337-4CEE4A25C860}"/>
            </a:ext>
          </a:extLst>
        </xdr:cNvPr>
        <xdr:cNvSpPr/>
      </xdr:nvSpPr>
      <xdr:spPr>
        <a:xfrm>
          <a:off x="8474689" y="463197"/>
          <a:ext cx="483126" cy="483903"/>
        </a:xfrm>
        <a:prstGeom prst="ellipse">
          <a:avLst/>
        </a:prstGeom>
        <a:solidFill>
          <a:srgbClr val="0E5C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105907</xdr:colOff>
      <xdr:row>2</xdr:row>
      <xdr:rowOff>165516</xdr:rowOff>
    </xdr:from>
    <xdr:to>
      <xdr:col>13</xdr:col>
      <xdr:colOff>494420</xdr:colOff>
      <xdr:row>5</xdr:row>
      <xdr:rowOff>3747</xdr:rowOff>
    </xdr:to>
    <xdr:pic>
      <xdr:nvPicPr>
        <xdr:cNvPr id="17" name="Gráfico 16" descr="Perguntas com preenchimento sólido">
          <a:extLst>
            <a:ext uri="{FF2B5EF4-FFF2-40B4-BE49-F238E27FC236}">
              <a16:creationId xmlns:a16="http://schemas.microsoft.com/office/drawing/2014/main" id="{6935E603-2112-28E0-37DE-FECE20C2D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33627" y="531276"/>
          <a:ext cx="388513" cy="386871"/>
        </a:xfrm>
        <a:prstGeom prst="rect">
          <a:avLst/>
        </a:prstGeom>
      </xdr:spPr>
    </xdr:pic>
    <xdr:clientData/>
  </xdr:twoCellAnchor>
  <xdr:twoCellAnchor editAs="oneCell">
    <xdr:from>
      <xdr:col>3</xdr:col>
      <xdr:colOff>198246</xdr:colOff>
      <xdr:row>2</xdr:row>
      <xdr:rowOff>172513</xdr:rowOff>
    </xdr:from>
    <xdr:to>
      <xdr:col>3</xdr:col>
      <xdr:colOff>551763</xdr:colOff>
      <xdr:row>4</xdr:row>
      <xdr:rowOff>163767</xdr:rowOff>
    </xdr:to>
    <xdr:pic>
      <xdr:nvPicPr>
        <xdr:cNvPr id="129" name="Gráfico 128" descr="Tendência ascendente com preenchimento sólido">
          <a:extLst>
            <a:ext uri="{FF2B5EF4-FFF2-40B4-BE49-F238E27FC236}">
              <a16:creationId xmlns:a16="http://schemas.microsoft.com/office/drawing/2014/main" id="{948DDF1A-9394-428C-14CD-C6C68576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29966" y="538273"/>
          <a:ext cx="353517" cy="357014"/>
        </a:xfrm>
        <a:prstGeom prst="rect">
          <a:avLst/>
        </a:prstGeom>
      </xdr:spPr>
    </xdr:pic>
    <xdr:clientData/>
  </xdr:twoCellAnchor>
  <xdr:twoCellAnchor editAs="oneCell">
    <xdr:from>
      <xdr:col>8</xdr:col>
      <xdr:colOff>156147</xdr:colOff>
      <xdr:row>2</xdr:row>
      <xdr:rowOff>112426</xdr:rowOff>
    </xdr:from>
    <xdr:to>
      <xdr:col>8</xdr:col>
      <xdr:colOff>570876</xdr:colOff>
      <xdr:row>4</xdr:row>
      <xdr:rowOff>164892</xdr:rowOff>
    </xdr:to>
    <xdr:pic>
      <xdr:nvPicPr>
        <xdr:cNvPr id="131" name="Gráfico 130" descr="Dinheiro com preenchimento sólido">
          <a:extLst>
            <a:ext uri="{FF2B5EF4-FFF2-40B4-BE49-F238E27FC236}">
              <a16:creationId xmlns:a16="http://schemas.microsoft.com/office/drawing/2014/main" id="{7E7ABE85-7738-B510-6A3F-D3243648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52606" y="474688"/>
          <a:ext cx="414729" cy="414729"/>
        </a:xfrm>
        <a:prstGeom prst="rect">
          <a:avLst/>
        </a:prstGeom>
      </xdr:spPr>
    </xdr:pic>
    <xdr:clientData/>
  </xdr:twoCellAnchor>
  <xdr:twoCellAnchor>
    <xdr:from>
      <xdr:col>0</xdr:col>
      <xdr:colOff>187377</xdr:colOff>
      <xdr:row>6</xdr:row>
      <xdr:rowOff>60750</xdr:rowOff>
    </xdr:from>
    <xdr:to>
      <xdr:col>6</xdr:col>
      <xdr:colOff>370030</xdr:colOff>
      <xdr:row>18</xdr:row>
      <xdr:rowOff>12491</xdr:rowOff>
    </xdr:to>
    <xdr:grpSp>
      <xdr:nvGrpSpPr>
        <xdr:cNvPr id="134" name="Agrupar 133">
          <a:extLst>
            <a:ext uri="{FF2B5EF4-FFF2-40B4-BE49-F238E27FC236}">
              <a16:creationId xmlns:a16="http://schemas.microsoft.com/office/drawing/2014/main" id="{B361E64D-83DE-4122-4247-8A9CF03B8196}"/>
            </a:ext>
          </a:extLst>
        </xdr:cNvPr>
        <xdr:cNvGrpSpPr/>
      </xdr:nvGrpSpPr>
      <xdr:grpSpPr>
        <a:xfrm>
          <a:off x="187377" y="1158030"/>
          <a:ext cx="4343173" cy="2146301"/>
          <a:chOff x="185856" y="1110062"/>
          <a:chExt cx="4648472" cy="2125315"/>
        </a:xfrm>
      </xdr:grpSpPr>
      <xdr:sp macro="" textlink="">
        <xdr:nvSpPr>
          <xdr:cNvPr id="98" name="Retângulo: Cantos Arredondados 97">
            <a:extLst>
              <a:ext uri="{FF2B5EF4-FFF2-40B4-BE49-F238E27FC236}">
                <a16:creationId xmlns:a16="http://schemas.microsoft.com/office/drawing/2014/main" id="{763F6B77-5A4F-BF08-762E-2D12DA7C4A0D}"/>
              </a:ext>
            </a:extLst>
          </xdr:cNvPr>
          <xdr:cNvSpPr/>
        </xdr:nvSpPr>
        <xdr:spPr>
          <a:xfrm>
            <a:off x="189603" y="1110062"/>
            <a:ext cx="4641875" cy="256165"/>
          </a:xfrm>
          <a:prstGeom prst="roundRect">
            <a:avLst>
              <a:gd name="adj" fmla="val 13178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97" name="Retângulo: Cantos Arredondados 96">
            <a:extLst>
              <a:ext uri="{FF2B5EF4-FFF2-40B4-BE49-F238E27FC236}">
                <a16:creationId xmlns:a16="http://schemas.microsoft.com/office/drawing/2014/main" id="{2D54392E-DE4D-FEB1-E87C-8ABF0CF3E945}"/>
              </a:ext>
            </a:extLst>
          </xdr:cNvPr>
          <xdr:cNvSpPr/>
        </xdr:nvSpPr>
        <xdr:spPr>
          <a:xfrm>
            <a:off x="187377" y="1195384"/>
            <a:ext cx="4646951" cy="2039993"/>
          </a:xfrm>
          <a:prstGeom prst="roundRect">
            <a:avLst/>
          </a:prstGeom>
          <a:solidFill>
            <a:srgbClr val="E3EEF8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99" name="Retângulo 98">
            <a:extLst>
              <a:ext uri="{FF2B5EF4-FFF2-40B4-BE49-F238E27FC236}">
                <a16:creationId xmlns:a16="http://schemas.microsoft.com/office/drawing/2014/main" id="{4E7A9118-1FDD-C706-F3FA-9CED5B61C4C0}"/>
              </a:ext>
            </a:extLst>
          </xdr:cNvPr>
          <xdr:cNvSpPr/>
        </xdr:nvSpPr>
        <xdr:spPr>
          <a:xfrm>
            <a:off x="189603" y="1299319"/>
            <a:ext cx="4641811" cy="19012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33" name="Retângulo 132">
            <a:extLst>
              <a:ext uri="{FF2B5EF4-FFF2-40B4-BE49-F238E27FC236}">
                <a16:creationId xmlns:a16="http://schemas.microsoft.com/office/drawing/2014/main" id="{E8CBE523-DA74-4FF3-9607-A08CF94A1CCA}"/>
              </a:ext>
            </a:extLst>
          </xdr:cNvPr>
          <xdr:cNvSpPr/>
        </xdr:nvSpPr>
        <xdr:spPr>
          <a:xfrm>
            <a:off x="185856" y="1161738"/>
            <a:ext cx="4641811" cy="149901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268574</xdr:colOff>
      <xdr:row>8</xdr:row>
      <xdr:rowOff>118672</xdr:rowOff>
    </xdr:from>
    <xdr:to>
      <xdr:col>6</xdr:col>
      <xdr:colOff>356018</xdr:colOff>
      <xdr:row>17</xdr:row>
      <xdr:rowOff>74951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56AF6414-0FD8-4A23-BAC3-B5F4327AA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318541</xdr:colOff>
      <xdr:row>6</xdr:row>
      <xdr:rowOff>112426</xdr:rowOff>
    </xdr:from>
    <xdr:to>
      <xdr:col>6</xdr:col>
      <xdr:colOff>499672</xdr:colOff>
      <xdr:row>7</xdr:row>
      <xdr:rowOff>149901</xdr:rowOff>
    </xdr:to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39F83A13-DC24-9A67-04B1-FC2C09D9A5CC}"/>
            </a:ext>
          </a:extLst>
        </xdr:cNvPr>
        <xdr:cNvSpPr txBox="1"/>
      </xdr:nvSpPr>
      <xdr:spPr>
        <a:xfrm>
          <a:off x="318541" y="1199213"/>
          <a:ext cx="4353393" cy="218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rgbClr val="1B2A41"/>
              </a:solidFill>
            </a:rPr>
            <a:t>Gráfico de fluxo de caixa simples</a:t>
          </a:r>
        </a:p>
      </xdr:txBody>
    </xdr:sp>
    <xdr:clientData/>
  </xdr:twoCellAnchor>
  <xdr:twoCellAnchor>
    <xdr:from>
      <xdr:col>6</xdr:col>
      <xdr:colOff>548641</xdr:colOff>
      <xdr:row>18</xdr:row>
      <xdr:rowOff>157686</xdr:rowOff>
    </xdr:from>
    <xdr:to>
      <xdr:col>13</xdr:col>
      <xdr:colOff>579121</xdr:colOff>
      <xdr:row>30</xdr:row>
      <xdr:rowOff>107678</xdr:rowOff>
    </xdr:to>
    <xdr:grpSp>
      <xdr:nvGrpSpPr>
        <xdr:cNvPr id="161" name="Agrupar 160">
          <a:extLst>
            <a:ext uri="{FF2B5EF4-FFF2-40B4-BE49-F238E27FC236}">
              <a16:creationId xmlns:a16="http://schemas.microsoft.com/office/drawing/2014/main" id="{040F0F30-A932-041A-84F4-7E3F5D39505F}"/>
            </a:ext>
          </a:extLst>
        </xdr:cNvPr>
        <xdr:cNvGrpSpPr/>
      </xdr:nvGrpSpPr>
      <xdr:grpSpPr>
        <a:xfrm>
          <a:off x="4709161" y="3449526"/>
          <a:ext cx="4297680" cy="2144552"/>
          <a:chOff x="4759979" y="3449526"/>
          <a:chExt cx="4334928" cy="2144552"/>
        </a:xfrm>
      </xdr:grpSpPr>
      <xdr:sp macro="" textlink="">
        <xdr:nvSpPr>
          <xdr:cNvPr id="152" name="Retângulo: Cantos Arredondados 151">
            <a:extLst>
              <a:ext uri="{FF2B5EF4-FFF2-40B4-BE49-F238E27FC236}">
                <a16:creationId xmlns:a16="http://schemas.microsoft.com/office/drawing/2014/main" id="{2AA62FA6-3BFF-F281-1A80-01753E60DAD7}"/>
              </a:ext>
            </a:extLst>
          </xdr:cNvPr>
          <xdr:cNvSpPr/>
        </xdr:nvSpPr>
        <xdr:spPr>
          <a:xfrm>
            <a:off x="4763473" y="3449526"/>
            <a:ext cx="4328776" cy="258484"/>
          </a:xfrm>
          <a:prstGeom prst="roundRect">
            <a:avLst>
              <a:gd name="adj" fmla="val 13178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53" name="Retângulo: Cantos Arredondados 152">
            <a:extLst>
              <a:ext uri="{FF2B5EF4-FFF2-40B4-BE49-F238E27FC236}">
                <a16:creationId xmlns:a16="http://schemas.microsoft.com/office/drawing/2014/main" id="{905795DE-4FA3-7058-E169-3E293AAFEE39}"/>
              </a:ext>
            </a:extLst>
          </xdr:cNvPr>
          <xdr:cNvSpPr/>
        </xdr:nvSpPr>
        <xdr:spPr>
          <a:xfrm>
            <a:off x="4761397" y="3535620"/>
            <a:ext cx="4333510" cy="2058458"/>
          </a:xfrm>
          <a:prstGeom prst="roundRect">
            <a:avLst/>
          </a:prstGeom>
          <a:solidFill>
            <a:srgbClr val="E3EEF8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54" name="Retângulo 153">
            <a:extLst>
              <a:ext uri="{FF2B5EF4-FFF2-40B4-BE49-F238E27FC236}">
                <a16:creationId xmlns:a16="http://schemas.microsoft.com/office/drawing/2014/main" id="{C072D5B5-3859-2B6E-A1FE-C331654329A0}"/>
              </a:ext>
            </a:extLst>
          </xdr:cNvPr>
          <xdr:cNvSpPr/>
        </xdr:nvSpPr>
        <xdr:spPr>
          <a:xfrm>
            <a:off x="4763473" y="3640496"/>
            <a:ext cx="4328716" cy="19185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55" name="Retângulo 154">
            <a:extLst>
              <a:ext uri="{FF2B5EF4-FFF2-40B4-BE49-F238E27FC236}">
                <a16:creationId xmlns:a16="http://schemas.microsoft.com/office/drawing/2014/main" id="{F88CC136-DCFD-EF63-C9CD-55AD78908CA7}"/>
              </a:ext>
            </a:extLst>
          </xdr:cNvPr>
          <xdr:cNvSpPr/>
        </xdr:nvSpPr>
        <xdr:spPr>
          <a:xfrm>
            <a:off x="4759979" y="3501670"/>
            <a:ext cx="4328716" cy="151258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</xdr:grpSp>
    <xdr:clientData/>
  </xdr:twoCellAnchor>
  <xdr:twoCellAnchor>
    <xdr:from>
      <xdr:col>6</xdr:col>
      <xdr:colOff>515639</xdr:colOff>
      <xdr:row>6</xdr:row>
      <xdr:rowOff>43386</xdr:rowOff>
    </xdr:from>
    <xdr:to>
      <xdr:col>13</xdr:col>
      <xdr:colOff>583368</xdr:colOff>
      <xdr:row>18</xdr:row>
      <xdr:rowOff>23857</xdr:rowOff>
    </xdr:to>
    <xdr:grpSp>
      <xdr:nvGrpSpPr>
        <xdr:cNvPr id="145" name="Agrupar 144">
          <a:extLst>
            <a:ext uri="{FF2B5EF4-FFF2-40B4-BE49-F238E27FC236}">
              <a16:creationId xmlns:a16="http://schemas.microsoft.com/office/drawing/2014/main" id="{3ECDA86A-661E-5AF9-661E-6D61DC4DEFB4}"/>
            </a:ext>
          </a:extLst>
        </xdr:cNvPr>
        <xdr:cNvGrpSpPr/>
      </xdr:nvGrpSpPr>
      <xdr:grpSpPr>
        <a:xfrm>
          <a:off x="4676159" y="1140666"/>
          <a:ext cx="4334929" cy="2175031"/>
          <a:chOff x="185856" y="1110062"/>
          <a:chExt cx="4648473" cy="2155521"/>
        </a:xfrm>
      </xdr:grpSpPr>
      <xdr:sp macro="" textlink="">
        <xdr:nvSpPr>
          <xdr:cNvPr id="146" name="Retângulo: Cantos Arredondados 145">
            <a:extLst>
              <a:ext uri="{FF2B5EF4-FFF2-40B4-BE49-F238E27FC236}">
                <a16:creationId xmlns:a16="http://schemas.microsoft.com/office/drawing/2014/main" id="{BFEEA70A-F3B2-A05E-2D58-ED9C991D57FB}"/>
              </a:ext>
            </a:extLst>
          </xdr:cNvPr>
          <xdr:cNvSpPr/>
        </xdr:nvSpPr>
        <xdr:spPr>
          <a:xfrm>
            <a:off x="189603" y="1110062"/>
            <a:ext cx="4641875" cy="256165"/>
          </a:xfrm>
          <a:prstGeom prst="roundRect">
            <a:avLst>
              <a:gd name="adj" fmla="val 13178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47" name="Retângulo: Cantos Arredondados 146">
            <a:extLst>
              <a:ext uri="{FF2B5EF4-FFF2-40B4-BE49-F238E27FC236}">
                <a16:creationId xmlns:a16="http://schemas.microsoft.com/office/drawing/2014/main" id="{92FE1365-6B2F-1CB6-C7C9-4591EEBC9687}"/>
              </a:ext>
            </a:extLst>
          </xdr:cNvPr>
          <xdr:cNvSpPr/>
        </xdr:nvSpPr>
        <xdr:spPr>
          <a:xfrm>
            <a:off x="187377" y="1225590"/>
            <a:ext cx="4646952" cy="2039993"/>
          </a:xfrm>
          <a:prstGeom prst="roundRect">
            <a:avLst/>
          </a:prstGeom>
          <a:solidFill>
            <a:srgbClr val="E3EEF8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48" name="Retângulo 147">
            <a:extLst>
              <a:ext uri="{FF2B5EF4-FFF2-40B4-BE49-F238E27FC236}">
                <a16:creationId xmlns:a16="http://schemas.microsoft.com/office/drawing/2014/main" id="{3E0EDD94-8CDB-812A-2383-A64BA7B991D4}"/>
              </a:ext>
            </a:extLst>
          </xdr:cNvPr>
          <xdr:cNvSpPr/>
        </xdr:nvSpPr>
        <xdr:spPr>
          <a:xfrm>
            <a:off x="189603" y="1299319"/>
            <a:ext cx="4641811" cy="19012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49" name="Retângulo 148">
            <a:extLst>
              <a:ext uri="{FF2B5EF4-FFF2-40B4-BE49-F238E27FC236}">
                <a16:creationId xmlns:a16="http://schemas.microsoft.com/office/drawing/2014/main" id="{2D1F90BE-EA53-7241-2E07-4B570C44CA49}"/>
              </a:ext>
            </a:extLst>
          </xdr:cNvPr>
          <xdr:cNvSpPr/>
        </xdr:nvSpPr>
        <xdr:spPr>
          <a:xfrm>
            <a:off x="185856" y="1161738"/>
            <a:ext cx="4641811" cy="149901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198121</xdr:colOff>
      <xdr:row>18</xdr:row>
      <xdr:rowOff>172926</xdr:rowOff>
    </xdr:from>
    <xdr:to>
      <xdr:col>6</xdr:col>
      <xdr:colOff>373381</xdr:colOff>
      <xdr:row>30</xdr:row>
      <xdr:rowOff>122918</xdr:rowOff>
    </xdr:to>
    <xdr:grpSp>
      <xdr:nvGrpSpPr>
        <xdr:cNvPr id="156" name="Agrupar 155">
          <a:extLst>
            <a:ext uri="{FF2B5EF4-FFF2-40B4-BE49-F238E27FC236}">
              <a16:creationId xmlns:a16="http://schemas.microsoft.com/office/drawing/2014/main" id="{8A40E3D3-40F1-40A6-556E-832E6E08B619}"/>
            </a:ext>
          </a:extLst>
        </xdr:cNvPr>
        <xdr:cNvGrpSpPr/>
      </xdr:nvGrpSpPr>
      <xdr:grpSpPr>
        <a:xfrm>
          <a:off x="198121" y="3464766"/>
          <a:ext cx="4335780" cy="2144552"/>
          <a:chOff x="185856" y="1110062"/>
          <a:chExt cx="4648472" cy="2125315"/>
        </a:xfrm>
      </xdr:grpSpPr>
      <xdr:sp macro="" textlink="">
        <xdr:nvSpPr>
          <xdr:cNvPr id="157" name="Retângulo: Cantos Arredondados 156">
            <a:extLst>
              <a:ext uri="{FF2B5EF4-FFF2-40B4-BE49-F238E27FC236}">
                <a16:creationId xmlns:a16="http://schemas.microsoft.com/office/drawing/2014/main" id="{C54297CB-9275-5CC4-9037-D135DF75AECF}"/>
              </a:ext>
            </a:extLst>
          </xdr:cNvPr>
          <xdr:cNvSpPr/>
        </xdr:nvSpPr>
        <xdr:spPr>
          <a:xfrm>
            <a:off x="189603" y="1110062"/>
            <a:ext cx="4641875" cy="256165"/>
          </a:xfrm>
          <a:prstGeom prst="roundRect">
            <a:avLst>
              <a:gd name="adj" fmla="val 13178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58" name="Retângulo: Cantos Arredondados 157">
            <a:extLst>
              <a:ext uri="{FF2B5EF4-FFF2-40B4-BE49-F238E27FC236}">
                <a16:creationId xmlns:a16="http://schemas.microsoft.com/office/drawing/2014/main" id="{B109C6A1-F343-04A2-6326-E9EC03540F0D}"/>
              </a:ext>
            </a:extLst>
          </xdr:cNvPr>
          <xdr:cNvSpPr/>
        </xdr:nvSpPr>
        <xdr:spPr>
          <a:xfrm>
            <a:off x="187377" y="1195384"/>
            <a:ext cx="4646951" cy="2039993"/>
          </a:xfrm>
          <a:prstGeom prst="roundRect">
            <a:avLst/>
          </a:prstGeom>
          <a:solidFill>
            <a:srgbClr val="E3EEF8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59" name="Retângulo 158">
            <a:extLst>
              <a:ext uri="{FF2B5EF4-FFF2-40B4-BE49-F238E27FC236}">
                <a16:creationId xmlns:a16="http://schemas.microsoft.com/office/drawing/2014/main" id="{37AE4EBE-D693-A529-FF1C-2472C9B9DC60}"/>
              </a:ext>
            </a:extLst>
          </xdr:cNvPr>
          <xdr:cNvSpPr/>
        </xdr:nvSpPr>
        <xdr:spPr>
          <a:xfrm>
            <a:off x="189603" y="1299319"/>
            <a:ext cx="4641811" cy="19012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  <xdr:sp macro="" textlink="">
        <xdr:nvSpPr>
          <xdr:cNvPr id="160" name="Retângulo 159">
            <a:extLst>
              <a:ext uri="{FF2B5EF4-FFF2-40B4-BE49-F238E27FC236}">
                <a16:creationId xmlns:a16="http://schemas.microsoft.com/office/drawing/2014/main" id="{19FA69B8-93AF-ACFE-D78D-04DE1283F7C2}"/>
              </a:ext>
            </a:extLst>
          </xdr:cNvPr>
          <xdr:cNvSpPr/>
        </xdr:nvSpPr>
        <xdr:spPr>
          <a:xfrm>
            <a:off x="185856" y="1161738"/>
            <a:ext cx="4641811" cy="149901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accent6">
                  <a:lumMod val="60000"/>
                  <a:lumOff val="40000"/>
                  <a:alpha val="8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406983</xdr:colOff>
      <xdr:row>21</xdr:row>
      <xdr:rowOff>152400</xdr:rowOff>
    </xdr:from>
    <xdr:to>
      <xdr:col>7</xdr:col>
      <xdr:colOff>197121</xdr:colOff>
      <xdr:row>30</xdr:row>
      <xdr:rowOff>75701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FB58BD02-A18D-E1A1-EC63-9E2853457283}"/>
            </a:ext>
          </a:extLst>
        </xdr:cNvPr>
        <xdr:cNvSpPr txBox="1"/>
      </xdr:nvSpPr>
      <xdr:spPr>
        <a:xfrm>
          <a:off x="406983" y="3992880"/>
          <a:ext cx="4560258" cy="1569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/>
            <a:t>✔ </a:t>
          </a:r>
          <a:r>
            <a:rPr lang="pt-BR" sz="1600" b="1"/>
            <a:t>VPL positivo</a:t>
          </a:r>
          <a:r>
            <a:rPr lang="pt-BR" sz="1600"/>
            <a:t> e </a:t>
          </a:r>
          <a:r>
            <a:rPr lang="pt-B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TMA&lt;TIER</a:t>
          </a:r>
          <a:endParaRPr lang="pt-BR" sz="1600" b="1">
            <a:effectLst/>
          </a:endParaRPr>
        </a:p>
        <a:p>
          <a:pPr algn="l"/>
          <a:r>
            <a:rPr lang="pt-BR" sz="1600"/>
            <a:t>indicando</a:t>
          </a:r>
          <a:r>
            <a:rPr lang="pt-BR" sz="1600" baseline="0"/>
            <a:t> que o</a:t>
          </a:r>
          <a:r>
            <a:rPr lang="pt-BR" sz="1600"/>
            <a:t> projeto é viável financeiramente</a:t>
          </a:r>
        </a:p>
        <a:p>
          <a:pPr algn="l"/>
          <a:r>
            <a:rPr lang="pt-BR" sz="1600"/>
            <a:t>✔ Retorno acima da TMA de </a:t>
          </a:r>
          <a:r>
            <a:rPr lang="pt-BR" sz="1600" b="1"/>
            <a:t>11%</a:t>
          </a:r>
        </a:p>
        <a:p>
          <a:pPr algn="l"/>
          <a:r>
            <a:rPr lang="pt-BR" sz="1600"/>
            <a:t>✔ Payback descontado alcançado no ano </a:t>
          </a:r>
          <a:r>
            <a:rPr lang="pt-BR" sz="1600" b="1"/>
            <a:t>6</a:t>
          </a:r>
        </a:p>
      </xdr:txBody>
    </xdr:sp>
    <xdr:clientData/>
  </xdr:twoCellAnchor>
  <xdr:twoCellAnchor>
    <xdr:from>
      <xdr:col>7</xdr:col>
      <xdr:colOff>77199</xdr:colOff>
      <xdr:row>9</xdr:row>
      <xdr:rowOff>7620</xdr:rowOff>
    </xdr:from>
    <xdr:to>
      <xdr:col>13</xdr:col>
      <xdr:colOff>414478</xdr:colOff>
      <xdr:row>18</xdr:row>
      <xdr:rowOff>26357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332F56C9-954B-4E03-963B-5095F076C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121920</xdr:colOff>
      <xdr:row>21</xdr:row>
      <xdr:rowOff>68580</xdr:rowOff>
    </xdr:from>
    <xdr:to>
      <xdr:col>14</xdr:col>
      <xdr:colOff>45720</xdr:colOff>
      <xdr:row>29</xdr:row>
      <xdr:rowOff>152400</xdr:rowOff>
    </xdr:to>
    <xdr:graphicFrame macro="">
      <xdr:nvGraphicFramePr>
        <xdr:cNvPr id="162" name="Gráfico 161">
          <a:extLst>
            <a:ext uri="{FF2B5EF4-FFF2-40B4-BE49-F238E27FC236}">
              <a16:creationId xmlns:a16="http://schemas.microsoft.com/office/drawing/2014/main" id="{A91F9A6F-0BC1-4F45-BA5B-4BABD46AF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289560</xdr:colOff>
      <xdr:row>19</xdr:row>
      <xdr:rowOff>15240</xdr:rowOff>
    </xdr:from>
    <xdr:to>
      <xdr:col>6</xdr:col>
      <xdr:colOff>335280</xdr:colOff>
      <xdr:row>21</xdr:row>
      <xdr:rowOff>15240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EB49553D-6965-212A-B75B-690A5E6F6141}"/>
            </a:ext>
          </a:extLst>
        </xdr:cNvPr>
        <xdr:cNvSpPr txBox="1"/>
      </xdr:nvSpPr>
      <xdr:spPr>
        <a:xfrm>
          <a:off x="289560" y="3489960"/>
          <a:ext cx="420624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rgbClr val="1B2A41"/>
              </a:solidFill>
              <a:latin typeface="+mn-lt"/>
              <a:ea typeface="+mn-ea"/>
              <a:cs typeface="+mn-cs"/>
            </a:rPr>
            <a:t>Resumo </a:t>
          </a:r>
        </a:p>
        <a:p>
          <a:endParaRPr lang="pt-BR" sz="1100">
            <a:ln>
              <a:noFill/>
            </a:ln>
            <a:noFill/>
          </a:endParaRPr>
        </a:p>
      </xdr:txBody>
    </xdr:sp>
    <xdr:clientData/>
  </xdr:twoCellAnchor>
  <xdr:twoCellAnchor>
    <xdr:from>
      <xdr:col>6</xdr:col>
      <xdr:colOff>562381</xdr:colOff>
      <xdr:row>6</xdr:row>
      <xdr:rowOff>94313</xdr:rowOff>
    </xdr:from>
    <xdr:to>
      <xdr:col>13</xdr:col>
      <xdr:colOff>579120</xdr:colOff>
      <xdr:row>7</xdr:row>
      <xdr:rowOff>137160</xdr:rowOff>
    </xdr:to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DEB765B7-85C0-4968-8F1F-8D06B635168B}"/>
            </a:ext>
          </a:extLst>
        </xdr:cNvPr>
        <xdr:cNvSpPr txBox="1"/>
      </xdr:nvSpPr>
      <xdr:spPr>
        <a:xfrm>
          <a:off x="4722901" y="1191593"/>
          <a:ext cx="4283939" cy="225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rgbClr val="1B2A41"/>
              </a:solidFill>
            </a:rPr>
            <a:t>Gráfico de fluxo de caixa descontado</a:t>
          </a:r>
        </a:p>
      </xdr:txBody>
    </xdr:sp>
    <xdr:clientData/>
  </xdr:twoCellAnchor>
  <xdr:twoCellAnchor>
    <xdr:from>
      <xdr:col>7</xdr:col>
      <xdr:colOff>45720</xdr:colOff>
      <xdr:row>19</xdr:row>
      <xdr:rowOff>25733</xdr:rowOff>
    </xdr:from>
    <xdr:to>
      <xdr:col>14</xdr:col>
      <xdr:colOff>4372</xdr:colOff>
      <xdr:row>20</xdr:row>
      <xdr:rowOff>99060</xdr:rowOff>
    </xdr:to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00B0CE27-15AE-42E7-A204-9FC84E351573}"/>
            </a:ext>
          </a:extLst>
        </xdr:cNvPr>
        <xdr:cNvSpPr txBox="1"/>
      </xdr:nvSpPr>
      <xdr:spPr>
        <a:xfrm>
          <a:off x="4815840" y="3500453"/>
          <a:ext cx="4225852" cy="256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400" b="1" i="0" u="none" strike="noStrike" kern="0" cap="none" spc="0" normalizeH="0" baseline="0" noProof="0">
              <a:ln>
                <a:noFill/>
              </a:ln>
              <a:solidFill>
                <a:srgbClr val="1B2A41"/>
              </a:solidFill>
              <a:effectLst/>
              <a:uLnTx/>
              <a:uFillTx/>
              <a:latin typeface="+mn-lt"/>
              <a:ea typeface="+mn-ea"/>
              <a:cs typeface="+mn-cs"/>
            </a:rPr>
            <a:t>Payback descontado</a:t>
          </a:r>
        </a:p>
      </xdr:txBody>
    </xdr:sp>
    <xdr:clientData/>
  </xdr:twoCellAnchor>
  <xdr:twoCellAnchor>
    <xdr:from>
      <xdr:col>9</xdr:col>
      <xdr:colOff>91440</xdr:colOff>
      <xdr:row>0</xdr:row>
      <xdr:rowOff>38100</xdr:rowOff>
    </xdr:from>
    <xdr:to>
      <xdr:col>13</xdr:col>
      <xdr:colOff>579120</xdr:colOff>
      <xdr:row>2</xdr:row>
      <xdr:rowOff>0</xdr:rowOff>
    </xdr:to>
    <xdr:sp macro="" textlink="">
      <xdr:nvSpPr>
        <xdr:cNvPr id="172" name="CaixaDeTexto 17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F9F4BE-98ED-6AA0-085D-9C352688F910}"/>
            </a:ext>
          </a:extLst>
        </xdr:cNvPr>
        <xdr:cNvSpPr txBox="1"/>
      </xdr:nvSpPr>
      <xdr:spPr>
        <a:xfrm>
          <a:off x="6080760" y="38100"/>
          <a:ext cx="2926080" cy="327660"/>
        </a:xfrm>
        <a:prstGeom prst="rect">
          <a:avLst/>
        </a:prstGeom>
        <a:solidFill>
          <a:srgbClr val="1B2A4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ln>
                <a:noFill/>
              </a:ln>
              <a:solidFill>
                <a:schemeClr val="bg1"/>
              </a:solidFill>
            </a:rPr>
            <a:t>Clique aqui para ir para base de dados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160020</xdr:rowOff>
    </xdr:from>
    <xdr:to>
      <xdr:col>13</xdr:col>
      <xdr:colOff>518160</xdr:colOff>
      <xdr:row>17</xdr:row>
      <xdr:rowOff>68580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8FD88F-054D-4BFB-B22B-9CA54E251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</xdr:row>
      <xdr:rowOff>76200</xdr:rowOff>
    </xdr:from>
    <xdr:to>
      <xdr:col>13</xdr:col>
      <xdr:colOff>373380</xdr:colOff>
      <xdr:row>18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949053-980E-D0E3-2218-905BD3368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175260</xdr:rowOff>
    </xdr:from>
    <xdr:to>
      <xdr:col>12</xdr:col>
      <xdr:colOff>312420</xdr:colOff>
      <xdr:row>18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D5A9E7-0FFC-CFFE-9D3F-D7CB7C20A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" refreshedDate="46002.505076041663" createdVersion="8" refreshedVersion="8" minRefreshableVersion="3" recordCount="7" xr:uid="{831F4E3E-7114-466E-B676-58FA91C8BCB2}">
  <cacheSource type="worksheet">
    <worksheetSource name="Tabela1"/>
  </cacheSource>
  <cacheFields count="5">
    <cacheField name="Ano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Fluxo simples" numFmtId="164">
      <sharedItems containsSemiMixedTypes="0" containsString="0" containsNumber="1" containsInteger="1" minValue="-10000000" maxValue="2400000"/>
    </cacheField>
    <cacheField name="Fluxo descontado (TMA=11%)" numFmtId="164">
      <sharedItems containsSemiMixedTypes="0" containsString="0" containsNumber="1" minValue="-10000000" maxValue="2162162.1621621619"/>
    </cacheField>
    <cacheField name="Acumulativo simples" numFmtId="164">
      <sharedItems containsSemiMixedTypes="0" containsString="0" containsNumber="1" containsInteger="1" minValue="-10000000" maxValue="4400000"/>
    </cacheField>
    <cacheField name="Acumulativo descontado" numFmtId="164">
      <sharedItems containsSemiMixedTypes="0" containsString="0" containsNumber="1" minValue="-10000000" maxValue="153290.848971814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-10000000"/>
    <n v="-10000000"/>
    <n v="-10000000"/>
    <n v="-10000000"/>
  </r>
  <r>
    <x v="1"/>
    <n v="2400000"/>
    <n v="2162162.1621621619"/>
    <n v="-7600000"/>
    <n v="-7837837.8378378376"/>
  </r>
  <r>
    <x v="2"/>
    <n v="2400000"/>
    <n v="1947893.8397857314"/>
    <n v="-5200000"/>
    <n v="-5889943.9980521062"/>
  </r>
  <r>
    <x v="3"/>
    <n v="2400000"/>
    <n v="1754859.3151222805"/>
    <n v="-2800000"/>
    <n v="-4135084.682929826"/>
  </r>
  <r>
    <x v="4"/>
    <n v="2400000"/>
    <n v="1580954.3379480003"/>
    <n v="-400000"/>
    <n v="-2554130.3449818259"/>
  </r>
  <r>
    <x v="5"/>
    <n v="2400000"/>
    <n v="1424283.1873405408"/>
    <n v="2000000"/>
    <n v="-1129847.1576412851"/>
  </r>
  <r>
    <x v="6"/>
    <n v="2400000"/>
    <n v="1283138.0066130997"/>
    <n v="4400000"/>
    <n v="153290.848971814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24DCC-C51A-4F02-84B8-E1A23AD3D483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 rowHeaderCaption="Ano">
  <location ref="A5:B12" firstHeaderRow="1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164" showAll="0"/>
    <pivotField numFmtId="164" showAll="0"/>
    <pivotField numFmtId="164" showAll="0"/>
    <pivotField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Projeção de ganho" fld="1" baseField="0" baseItem="0" numFmtId="164"/>
  </dataFields>
  <formats count="1">
    <format dxfId="4">
      <pivotArea outline="0" collapsedLevelsAreSubtotals="1" fieldPosition="0"/>
    </format>
  </formats>
  <chartFormats count="16">
    <chartFormat chart="6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5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15A51-824A-43C3-8202-818E5EF6A24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 rowHeaderCaption="Ano">
  <location ref="A5:B13" firstHeaderRow="1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dataField="1" numFmtId="164" showAll="0"/>
    <pivotField numFmtId="164" showAll="0"/>
    <pivotField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Fluxo descontado (TMA)" fld="2" baseField="0" baseItem="0" numFmtId="164"/>
  </dataFields>
  <formats count="2">
    <format dxfId="3">
      <pivotArea outline="0" collapsedLevelsAreSubtotals="1" fieldPosition="0"/>
    </format>
    <format dxfId="2">
      <pivotArea grandRow="1" outline="0" collapsedLevelsAreSubtotals="1" fieldPosition="0"/>
    </format>
  </format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0A53B-72B5-4BA5-BCF6-FFAB284106E3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Ano">
  <location ref="A7:B14" firstHeaderRow="1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numFmtId="164" showAll="0"/>
    <pivotField numFmtId="164" showAll="0"/>
    <pivotField dataField="1"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cumulativo descontado (TMA)" fld="4" baseField="0" baseItem="0" numFmtId="164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95B16-3D81-47C8-A0BA-C73614F4C561}" name="Tabela1" displayName="Tabela1" ref="A13:E20" totalsRowShown="0" headerRowDxfId="10">
  <autoFilter ref="A13:E20" xr:uid="{3B395B16-3D81-47C8-A0BA-C73614F4C561}"/>
  <tableColumns count="5">
    <tableColumn id="1" xr3:uid="{1D79928F-4E52-4464-AE45-32D11B074824}" name="Ano" dataDxfId="9"/>
    <tableColumn id="2" xr3:uid="{25DEF888-9710-4B98-9CE4-1DEB14B454A7}" name="Fluxo simples" dataDxfId="8"/>
    <tableColumn id="3" xr3:uid="{01A50BC9-719C-43DE-B4E5-413C6CBAE2EC}" name="Fluxo descontado (TMA=11%)" dataDxfId="7">
      <calculatedColumnFormula>PV(B$24,A14,0,-B14)</calculatedColumnFormula>
    </tableColumn>
    <tableColumn id="4" xr3:uid="{9728086C-BD6E-4693-9A79-558C0402EB79}" name="Acumulativo simples" dataDxfId="6">
      <calculatedColumnFormula>D13+B14</calculatedColumnFormula>
    </tableColumn>
    <tableColumn id="5" xr3:uid="{2595668C-9DDD-42FA-8F03-6D761061948F}" name="Acumulativo descontado" dataDxfId="5">
      <calculatedColumnFormula>E13+C14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12B8-7D8D-4E92-9C0B-EBBCD81F5608}">
  <dimension ref="A1:H27"/>
  <sheetViews>
    <sheetView workbookViewId="0"/>
  </sheetViews>
  <sheetFormatPr defaultRowHeight="14.4" x14ac:dyDescent="0.3"/>
  <cols>
    <col min="1" max="1" width="56.88671875" bestFit="1" customWidth="1"/>
    <col min="2" max="2" width="15.88671875" bestFit="1" customWidth="1"/>
    <col min="3" max="3" width="30.109375" bestFit="1" customWidth="1"/>
    <col min="4" max="4" width="23.109375" bestFit="1" customWidth="1"/>
    <col min="5" max="5" width="22.33203125" customWidth="1"/>
    <col min="6" max="6" width="7.5546875" customWidth="1"/>
  </cols>
  <sheetData>
    <row r="1" spans="1:5" ht="21" x14ac:dyDescent="0.4">
      <c r="A1" s="34" t="s">
        <v>26</v>
      </c>
      <c r="B1" s="5"/>
      <c r="C1" s="5"/>
      <c r="D1" s="5"/>
    </row>
    <row r="2" spans="1:5" x14ac:dyDescent="0.3">
      <c r="A2" s="5"/>
      <c r="B2" s="5"/>
      <c r="C2" s="8" t="s">
        <v>0</v>
      </c>
      <c r="D2" s="8" t="s">
        <v>7</v>
      </c>
    </row>
    <row r="3" spans="1:5" x14ac:dyDescent="0.3">
      <c r="A3" s="7" t="s">
        <v>3</v>
      </c>
      <c r="C3" s="9">
        <v>0</v>
      </c>
    </row>
    <row r="4" spans="1:5" x14ac:dyDescent="0.3">
      <c r="A4" s="5"/>
      <c r="B4" s="5"/>
      <c r="C4" s="9">
        <v>1</v>
      </c>
      <c r="D4" s="6">
        <f t="shared" ref="D4:D9" si="0">PV(B$24,A15,0,-B15)</f>
        <v>2162162.1621621619</v>
      </c>
    </row>
    <row r="5" spans="1:5" x14ac:dyDescent="0.3">
      <c r="A5" s="2" t="s">
        <v>4</v>
      </c>
      <c r="B5" s="3" t="s">
        <v>5</v>
      </c>
      <c r="C5" s="9">
        <v>2</v>
      </c>
      <c r="D5" s="6">
        <f t="shared" si="0"/>
        <v>1947893.8397857314</v>
      </c>
    </row>
    <row r="6" spans="1:5" x14ac:dyDescent="0.3">
      <c r="A6" s="11" t="s">
        <v>27</v>
      </c>
      <c r="B6" s="4">
        <v>2400000</v>
      </c>
      <c r="C6" s="9">
        <v>3</v>
      </c>
      <c r="D6" s="6">
        <f t="shared" si="0"/>
        <v>1754859.3151222805</v>
      </c>
    </row>
    <row r="7" spans="1:5" x14ac:dyDescent="0.3">
      <c r="C7" s="9">
        <v>4</v>
      </c>
      <c r="D7" s="6">
        <f t="shared" si="0"/>
        <v>1580954.3379480003</v>
      </c>
    </row>
    <row r="8" spans="1:5" x14ac:dyDescent="0.3">
      <c r="C8" s="9">
        <v>5</v>
      </c>
      <c r="D8" s="6">
        <f t="shared" si="0"/>
        <v>1424283.1873405408</v>
      </c>
    </row>
    <row r="9" spans="1:5" x14ac:dyDescent="0.3">
      <c r="C9" s="9">
        <v>6</v>
      </c>
      <c r="D9" s="6">
        <f t="shared" si="0"/>
        <v>1283138.0066130997</v>
      </c>
    </row>
    <row r="10" spans="1:5" x14ac:dyDescent="0.3">
      <c r="C10" s="9" t="s">
        <v>28</v>
      </c>
      <c r="D10" s="20">
        <f>SUM(D4:D9)</f>
        <v>10153290.848971816</v>
      </c>
    </row>
    <row r="11" spans="1:5" x14ac:dyDescent="0.3">
      <c r="D11" s="21">
        <f>D10-10000000</f>
        <v>153290.84897181578</v>
      </c>
    </row>
    <row r="13" spans="1:5" x14ac:dyDescent="0.3">
      <c r="A13" s="22" t="s">
        <v>0</v>
      </c>
      <c r="B13" s="22" t="s">
        <v>9</v>
      </c>
      <c r="C13" s="22" t="s">
        <v>15</v>
      </c>
      <c r="D13" s="22" t="s">
        <v>13</v>
      </c>
      <c r="E13" s="22" t="s">
        <v>14</v>
      </c>
    </row>
    <row r="14" spans="1:5" x14ac:dyDescent="0.3">
      <c r="A14" s="9">
        <v>0</v>
      </c>
      <c r="B14" s="10">
        <v>-10000000</v>
      </c>
      <c r="C14" s="10">
        <f>B14</f>
        <v>-10000000</v>
      </c>
      <c r="D14" s="17">
        <f>C14</f>
        <v>-10000000</v>
      </c>
      <c r="E14" s="17">
        <v>-10000000</v>
      </c>
    </row>
    <row r="15" spans="1:5" x14ac:dyDescent="0.3">
      <c r="A15" s="9">
        <v>1</v>
      </c>
      <c r="B15" s="12">
        <v>2400000</v>
      </c>
      <c r="C15" s="10">
        <f>PV(B$24,A15,0,-B15)</f>
        <v>2162162.1621621619</v>
      </c>
      <c r="D15" s="17">
        <f t="shared" ref="D15:E20" si="1">D14+B15</f>
        <v>-7600000</v>
      </c>
      <c r="E15" s="17">
        <f t="shared" si="1"/>
        <v>-7837837.8378378376</v>
      </c>
    </row>
    <row r="16" spans="1:5" x14ac:dyDescent="0.3">
      <c r="A16" s="9">
        <v>2</v>
      </c>
      <c r="B16" s="10">
        <v>2400000</v>
      </c>
      <c r="C16" s="10">
        <f t="shared" ref="C16:C20" si="2">PV(B$24,A16,0,-B16)</f>
        <v>1947893.8397857314</v>
      </c>
      <c r="D16" s="17">
        <f t="shared" si="1"/>
        <v>-5200000</v>
      </c>
      <c r="E16" s="17">
        <f t="shared" si="1"/>
        <v>-5889943.9980521062</v>
      </c>
    </row>
    <row r="17" spans="1:8" x14ac:dyDescent="0.3">
      <c r="A17" s="9">
        <v>3</v>
      </c>
      <c r="B17" s="10">
        <v>2400000</v>
      </c>
      <c r="C17" s="10">
        <f t="shared" si="2"/>
        <v>1754859.3151222805</v>
      </c>
      <c r="D17" s="17">
        <f t="shared" si="1"/>
        <v>-2800000</v>
      </c>
      <c r="E17" s="17">
        <f t="shared" si="1"/>
        <v>-4135084.682929826</v>
      </c>
    </row>
    <row r="18" spans="1:8" x14ac:dyDescent="0.3">
      <c r="A18" s="9">
        <v>4</v>
      </c>
      <c r="B18" s="10">
        <v>2400000</v>
      </c>
      <c r="C18" s="10">
        <f t="shared" si="2"/>
        <v>1580954.3379480003</v>
      </c>
      <c r="D18" s="17">
        <f t="shared" si="1"/>
        <v>-400000</v>
      </c>
      <c r="E18" s="17">
        <f t="shared" si="1"/>
        <v>-2554130.3449818259</v>
      </c>
    </row>
    <row r="19" spans="1:8" x14ac:dyDescent="0.3">
      <c r="A19" s="9">
        <v>5</v>
      </c>
      <c r="B19" s="10">
        <v>2400000</v>
      </c>
      <c r="C19" s="10">
        <f t="shared" si="2"/>
        <v>1424283.1873405408</v>
      </c>
      <c r="D19" s="29">
        <f t="shared" si="1"/>
        <v>2000000</v>
      </c>
      <c r="E19" s="17">
        <f t="shared" si="1"/>
        <v>-1129847.1576412851</v>
      </c>
    </row>
    <row r="20" spans="1:8" x14ac:dyDescent="0.3">
      <c r="A20" s="9">
        <v>6</v>
      </c>
      <c r="B20" s="10">
        <v>2400000</v>
      </c>
      <c r="C20" s="10">
        <f t="shared" si="2"/>
        <v>1283138.0066130997</v>
      </c>
      <c r="D20" s="29">
        <f t="shared" si="1"/>
        <v>4400000</v>
      </c>
      <c r="E20" s="35">
        <f t="shared" si="1"/>
        <v>153290.84897181462</v>
      </c>
    </row>
    <row r="23" spans="1:8" x14ac:dyDescent="0.3">
      <c r="A23" s="7" t="s">
        <v>10</v>
      </c>
    </row>
    <row r="24" spans="1:8" x14ac:dyDescent="0.3">
      <c r="A24" s="2" t="s">
        <v>1</v>
      </c>
      <c r="B24" s="14">
        <v>0.11</v>
      </c>
      <c r="C24" t="s">
        <v>6</v>
      </c>
      <c r="D24" s="30" t="s">
        <v>11</v>
      </c>
      <c r="E24" s="30">
        <f>COUNTIFS(D14:D20,"&lt;0")</f>
        <v>5</v>
      </c>
      <c r="F24" s="31" t="s">
        <v>24</v>
      </c>
      <c r="G24" s="19"/>
      <c r="H24" s="19"/>
    </row>
    <row r="25" spans="1:8" x14ac:dyDescent="0.3">
      <c r="A25" s="2" t="s">
        <v>2</v>
      </c>
      <c r="B25" s="13">
        <f>NPV(B24,B15:B20)+B14</f>
        <v>153290.84897181578</v>
      </c>
      <c r="D25" s="30" t="s">
        <v>12</v>
      </c>
      <c r="E25" s="30">
        <f>COUNTIFS(E14:E20,"&lt;0")</f>
        <v>6</v>
      </c>
      <c r="F25" s="31" t="s">
        <v>25</v>
      </c>
    </row>
    <row r="26" spans="1:8" x14ac:dyDescent="0.3">
      <c r="A26" s="15" t="s">
        <v>8</v>
      </c>
      <c r="B26" s="16">
        <f>IRR(B14:B20)</f>
        <v>0.11530473216474246</v>
      </c>
    </row>
    <row r="27" spans="1:8" x14ac:dyDescent="0.3">
      <c r="A27" s="33"/>
      <c r="B27" s="5"/>
    </row>
  </sheetData>
  <conditionalFormatting sqref="A14:E19 A20:D20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AC67-F948-4874-B4BF-7D74094EA508}">
  <dimension ref="A22:A27"/>
  <sheetViews>
    <sheetView tabSelected="1" zoomScaleNormal="100" workbookViewId="0"/>
  </sheetViews>
  <sheetFormatPr defaultRowHeight="14.4" x14ac:dyDescent="0.3"/>
  <cols>
    <col min="1" max="1" width="16.21875" bestFit="1" customWidth="1"/>
  </cols>
  <sheetData>
    <row r="22" spans="1:1" x14ac:dyDescent="0.3">
      <c r="A22" s="9"/>
    </row>
    <row r="23" spans="1:1" x14ac:dyDescent="0.3">
      <c r="A23" s="9"/>
    </row>
    <row r="26" spans="1:1" x14ac:dyDescent="0.3">
      <c r="A26" s="9"/>
    </row>
    <row r="27" spans="1:1" x14ac:dyDescent="0.3">
      <c r="A27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D68C-8ACE-41E8-A035-45478FA8BC08}">
  <dimension ref="A2:D12"/>
  <sheetViews>
    <sheetView workbookViewId="0">
      <selection activeCell="B21" sqref="B21"/>
    </sheetView>
  </sheetViews>
  <sheetFormatPr defaultRowHeight="14.4" x14ac:dyDescent="0.3"/>
  <cols>
    <col min="1" max="1" width="27.33203125" bestFit="1" customWidth="1"/>
    <col min="2" max="2" width="15.88671875" bestFit="1" customWidth="1"/>
    <col min="3" max="3" width="8" bestFit="1" customWidth="1"/>
    <col min="4" max="4" width="16.33203125" bestFit="1" customWidth="1"/>
    <col min="5" max="8" width="8" bestFit="1" customWidth="1"/>
    <col min="9" max="9" width="10" bestFit="1" customWidth="1"/>
  </cols>
  <sheetData>
    <row r="2" spans="1:4" x14ac:dyDescent="0.3">
      <c r="A2" s="28" t="s">
        <v>18</v>
      </c>
    </row>
    <row r="5" spans="1:4" x14ac:dyDescent="0.3">
      <c r="A5" s="23" t="s">
        <v>0</v>
      </c>
      <c r="B5" t="s">
        <v>17</v>
      </c>
      <c r="D5" t="s">
        <v>23</v>
      </c>
    </row>
    <row r="6" spans="1:4" x14ac:dyDescent="0.3">
      <c r="A6" s="1">
        <v>0</v>
      </c>
      <c r="B6" s="17">
        <v>-10000000</v>
      </c>
      <c r="D6" s="24">
        <f>GETPIVOTDATA("Fluxo simples",$A$5,"Ano",0)/1000000</f>
        <v>-10</v>
      </c>
    </row>
    <row r="7" spans="1:4" x14ac:dyDescent="0.3">
      <c r="A7" s="1">
        <v>1</v>
      </c>
      <c r="B7" s="17">
        <v>2400000</v>
      </c>
      <c r="D7" s="26">
        <f>2400000/1000000</f>
        <v>2.4</v>
      </c>
    </row>
    <row r="8" spans="1:4" x14ac:dyDescent="0.3">
      <c r="A8" s="1">
        <v>2</v>
      </c>
      <c r="B8" s="17">
        <v>2400000</v>
      </c>
      <c r="D8" s="26">
        <f t="shared" ref="D8:D12" si="0">2400000/1000000</f>
        <v>2.4</v>
      </c>
    </row>
    <row r="9" spans="1:4" x14ac:dyDescent="0.3">
      <c r="A9" s="1">
        <v>3</v>
      </c>
      <c r="B9" s="17">
        <v>2400000</v>
      </c>
      <c r="D9" s="26">
        <f t="shared" si="0"/>
        <v>2.4</v>
      </c>
    </row>
    <row r="10" spans="1:4" x14ac:dyDescent="0.3">
      <c r="A10" s="1">
        <v>4</v>
      </c>
      <c r="B10" s="17">
        <v>2400000</v>
      </c>
      <c r="D10" s="26">
        <f t="shared" si="0"/>
        <v>2.4</v>
      </c>
    </row>
    <row r="11" spans="1:4" x14ac:dyDescent="0.3">
      <c r="A11" s="1">
        <v>5</v>
      </c>
      <c r="B11" s="17">
        <v>2400000</v>
      </c>
      <c r="D11" s="26">
        <f t="shared" si="0"/>
        <v>2.4</v>
      </c>
    </row>
    <row r="12" spans="1:4" x14ac:dyDescent="0.3">
      <c r="A12" s="1">
        <v>6</v>
      </c>
      <c r="B12" s="17">
        <v>2400000</v>
      </c>
      <c r="D12" s="26">
        <f t="shared" si="0"/>
        <v>2.4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6E21-288D-4062-AF29-AF6D8CEC123D}">
  <dimension ref="A1:D13"/>
  <sheetViews>
    <sheetView workbookViewId="0">
      <selection activeCell="C21" sqref="C21"/>
    </sheetView>
  </sheetViews>
  <sheetFormatPr defaultRowHeight="14.4" x14ac:dyDescent="0.3"/>
  <cols>
    <col min="1" max="1" width="31.77734375" bestFit="1" customWidth="1"/>
    <col min="2" max="2" width="20.88671875" bestFit="1" customWidth="1"/>
    <col min="4" max="4" width="16.33203125" bestFit="1" customWidth="1"/>
  </cols>
  <sheetData>
    <row r="1" spans="1:4" ht="15" thickBot="1" x14ac:dyDescent="0.35"/>
    <row r="2" spans="1:4" x14ac:dyDescent="0.3">
      <c r="A2" s="27" t="s">
        <v>19</v>
      </c>
    </row>
    <row r="5" spans="1:4" x14ac:dyDescent="0.3">
      <c r="A5" s="23" t="s">
        <v>0</v>
      </c>
      <c r="B5" t="s">
        <v>20</v>
      </c>
      <c r="D5" t="s">
        <v>23</v>
      </c>
    </row>
    <row r="6" spans="1:4" x14ac:dyDescent="0.3">
      <c r="A6" s="1">
        <v>0</v>
      </c>
      <c r="B6" s="17">
        <v>-10000000</v>
      </c>
      <c r="D6" s="24">
        <f>GETPIVOTDATA("Fluxo descontado (TMA=11%)",$A$5,"Ano",0)/1000000</f>
        <v>-10</v>
      </c>
    </row>
    <row r="7" spans="1:4" x14ac:dyDescent="0.3">
      <c r="A7" s="1">
        <v>1</v>
      </c>
      <c r="B7" s="17">
        <v>2162162.1621621619</v>
      </c>
      <c r="D7" s="25">
        <f>GETPIVOTDATA("Fluxo descontado (TMA=11%)",$A$5,"Ano",1)/1000000</f>
        <v>2.1621621621621618</v>
      </c>
    </row>
    <row r="8" spans="1:4" x14ac:dyDescent="0.3">
      <c r="A8" s="1">
        <v>2</v>
      </c>
      <c r="B8" s="17">
        <v>1947893.8397857314</v>
      </c>
      <c r="D8" s="25">
        <f>GETPIVOTDATA("Fluxo descontado (TMA=11%)",$A$5,"Ano",2)/1000000</f>
        <v>1.9478938397857315</v>
      </c>
    </row>
    <row r="9" spans="1:4" x14ac:dyDescent="0.3">
      <c r="A9" s="1">
        <v>3</v>
      </c>
      <c r="B9" s="17">
        <v>1754859.3151222805</v>
      </c>
      <c r="D9" s="25">
        <f>GETPIVOTDATA("Fluxo descontado (TMA=11%)",$A$5,"Ano",3)/1000000</f>
        <v>1.7548593151222804</v>
      </c>
    </row>
    <row r="10" spans="1:4" x14ac:dyDescent="0.3">
      <c r="A10" s="1">
        <v>4</v>
      </c>
      <c r="B10" s="17">
        <v>1580954.3379480003</v>
      </c>
      <c r="D10" s="25">
        <f>GETPIVOTDATA("Fluxo descontado (TMA=11%)",$A$5,"Ano",4)/1000000</f>
        <v>1.5809543379480002</v>
      </c>
    </row>
    <row r="11" spans="1:4" x14ac:dyDescent="0.3">
      <c r="A11" s="1">
        <v>5</v>
      </c>
      <c r="B11" s="17">
        <v>1424283.1873405408</v>
      </c>
      <c r="D11" s="25">
        <f>GETPIVOTDATA("Fluxo descontado (TMA=11%)",$A$5,"Ano",5)/1000000</f>
        <v>1.4242831873405408</v>
      </c>
    </row>
    <row r="12" spans="1:4" x14ac:dyDescent="0.3">
      <c r="A12" s="1">
        <v>6</v>
      </c>
      <c r="B12" s="17">
        <v>1283138.0066130997</v>
      </c>
      <c r="D12" s="25">
        <f>GETPIVOTDATA("Fluxo descontado (TMA=11%)",$A$5,"Ano",6)/1000000</f>
        <v>1.2831380066130997</v>
      </c>
    </row>
    <row r="13" spans="1:4" x14ac:dyDescent="0.3">
      <c r="A13" s="1" t="s">
        <v>16</v>
      </c>
      <c r="B13" s="18">
        <v>153290.84897181462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9F0D-B08D-4AB0-B607-38B28ED7D464}">
  <dimension ref="A2:B14"/>
  <sheetViews>
    <sheetView workbookViewId="0">
      <selection activeCell="F24" sqref="F24"/>
    </sheetView>
  </sheetViews>
  <sheetFormatPr defaultRowHeight="14.4" x14ac:dyDescent="0.3"/>
  <cols>
    <col min="1" max="1" width="17.77734375" bestFit="1" customWidth="1"/>
    <col min="2" max="2" width="26" bestFit="1" customWidth="1"/>
  </cols>
  <sheetData>
    <row r="2" spans="1:2" x14ac:dyDescent="0.3">
      <c r="A2" s="32" t="s">
        <v>21</v>
      </c>
    </row>
    <row r="7" spans="1:2" x14ac:dyDescent="0.3">
      <c r="A7" s="23" t="s">
        <v>0</v>
      </c>
      <c r="B7" t="s">
        <v>22</v>
      </c>
    </row>
    <row r="8" spans="1:2" x14ac:dyDescent="0.3">
      <c r="A8" s="1">
        <v>0</v>
      </c>
      <c r="B8" s="17">
        <v>-10000000</v>
      </c>
    </row>
    <row r="9" spans="1:2" x14ac:dyDescent="0.3">
      <c r="A9" s="1">
        <v>1</v>
      </c>
      <c r="B9" s="17">
        <v>-7837837.8378378376</v>
      </c>
    </row>
    <row r="10" spans="1:2" x14ac:dyDescent="0.3">
      <c r="A10" s="1">
        <v>2</v>
      </c>
      <c r="B10" s="17">
        <v>-5889943.9980521062</v>
      </c>
    </row>
    <row r="11" spans="1:2" x14ac:dyDescent="0.3">
      <c r="A11" s="1">
        <v>3</v>
      </c>
      <c r="B11" s="17">
        <v>-4135084.682929826</v>
      </c>
    </row>
    <row r="12" spans="1:2" x14ac:dyDescent="0.3">
      <c r="A12" s="1">
        <v>4</v>
      </c>
      <c r="B12" s="17">
        <v>-2554130.3449818259</v>
      </c>
    </row>
    <row r="13" spans="1:2" x14ac:dyDescent="0.3">
      <c r="A13" s="1">
        <v>5</v>
      </c>
      <c r="B13" s="17">
        <v>-1129847.1576412851</v>
      </c>
    </row>
    <row r="14" spans="1:2" x14ac:dyDescent="0.3">
      <c r="A14" s="1">
        <v>6</v>
      </c>
      <c r="B14" s="17">
        <v>153290.84897181462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DE DADOS</vt:lpstr>
      <vt:lpstr>DASHBOARD</vt:lpstr>
      <vt:lpstr>Gráfico 1</vt:lpstr>
      <vt:lpstr>Gráfico 2</vt:lpstr>
      <vt:lpstr>Gráfico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Marcele da Rocha Teixeira</dc:creator>
  <cp:lastModifiedBy>Marcele da Rocha Teixeira</cp:lastModifiedBy>
  <dcterms:created xsi:type="dcterms:W3CDTF">2025-12-06T22:38:25Z</dcterms:created>
  <dcterms:modified xsi:type="dcterms:W3CDTF">2025-12-28T21:10:42Z</dcterms:modified>
</cp:coreProperties>
</file>